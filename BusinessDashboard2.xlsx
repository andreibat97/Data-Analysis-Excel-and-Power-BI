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ndrei\Documents\Excel\MacQuire\"/>
    </mc:Choice>
  </mc:AlternateContent>
  <xr:revisionPtr revIDLastSave="0" documentId="13_ncr:1_{D54F012C-9610-4798-A9B3-AF15175C09DF}" xr6:coauthVersionLast="47" xr6:coauthVersionMax="47" xr10:uidLastSave="{00000000-0000-0000-0000-000000000000}"/>
  <bookViews>
    <workbookView xWindow="-108" yWindow="-108" windowWidth="23256" windowHeight="13176" firstSheet="1" activeTab="1" xr2:uid="{00000000-000D-0000-FFFF-FFFF00000000}"/>
  </bookViews>
  <sheets>
    <sheet name="Answer" sheetId="5" state="hidden" r:id="rId1"/>
    <sheet name="Dashboard" sheetId="8" r:id="rId2"/>
    <sheet name="SalesData" sheetId="1" r:id="rId3"/>
    <sheet name="PvtSalesMonth&amp;Cat" sheetId="6" r:id="rId4"/>
    <sheet name="PvtSubcategoryTargets" sheetId="4" r:id="rId5"/>
    <sheet name="PvtTopSubC" sheetId="3" r:id="rId6"/>
    <sheet name="PvtMatrix" sheetId="7" r:id="rId7"/>
  </sheets>
  <definedNames>
    <definedName name="_xlchart.v1.0" hidden="1">PvtSubcategoryTargets!$D$29:$E$44</definedName>
    <definedName name="_xlchart.v1.1" hidden="1">PvtSubcategoryTargets!$F$28</definedName>
    <definedName name="_xlchart.v1.2" hidden="1">PvtSubcategoryTargets!$F$29:$F$44</definedName>
    <definedName name="_xlchart.v1.3" hidden="1">PvtSubcategoryTargets!$D$29:$E$44</definedName>
    <definedName name="_xlchart.v1.4" hidden="1">PvtSubcategoryTargets!$F$28</definedName>
    <definedName name="_xlchart.v1.5" hidden="1">PvtSubcategoryTargets!$F$29:$F$44</definedName>
    <definedName name="ExternalData_1" localSheetId="2" hidden="1">SalesData!$A$3:$I$207</definedName>
    <definedName name="Slicer_Category">#N/A</definedName>
    <definedName name="Slicer_Month">#N/A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6" i="8" l="1"/>
  <c r="AE34" i="8"/>
  <c r="U4" i="8"/>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H10" i="7" s="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H13" i="7" s="1"/>
  <c r="G191" i="1"/>
  <c r="G192" i="1"/>
  <c r="G193" i="1"/>
  <c r="G194" i="1"/>
  <c r="G195" i="1"/>
  <c r="G196" i="1"/>
  <c r="G197" i="1"/>
  <c r="G198" i="1"/>
  <c r="G199" i="1"/>
  <c r="G200" i="1"/>
  <c r="G201" i="1"/>
  <c r="G202" i="1"/>
  <c r="G203" i="1"/>
  <c r="G204" i="1"/>
  <c r="G205" i="1"/>
  <c r="G206" i="1"/>
  <c r="G207" i="1"/>
  <c r="Q4" i="8"/>
  <c r="M4" i="8"/>
  <c r="H12" i="7"/>
  <c r="H9" i="7"/>
  <c r="H7" i="7"/>
  <c r="H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2CD4ED-3F32-47F1-8B4E-44ECF7233F51}" keepAlive="1" name="Query - Sales Summary" description="Connection to the 'Sales Summary' query in the workbook." type="5" refreshedVersion="8" background="1" saveData="1">
    <dbPr connection="Provider=Microsoft.Mashup.OleDb.1;Data Source=$Workbook$;Location=&quot;Sales Summary&quot;;Extended Properties=&quot;&quot;" command="SELECT * FROM [Sales Summary]"/>
  </connection>
</connections>
</file>

<file path=xl/sharedStrings.xml><?xml version="1.0" encoding="utf-8"?>
<sst xmlns="http://schemas.openxmlformats.org/spreadsheetml/2006/main" count="801" uniqueCount="69">
  <si>
    <t>Sales Data</t>
  </si>
  <si>
    <t>Shorts</t>
  </si>
  <si>
    <t>Category</t>
  </si>
  <si>
    <t>Subcategory</t>
  </si>
  <si>
    <t>ProductKey</t>
  </si>
  <si>
    <t>Monthly Target</t>
  </si>
  <si>
    <t>Attribute</t>
  </si>
  <si>
    <t>Sales</t>
  </si>
  <si>
    <t>% Target Achieved</t>
  </si>
  <si>
    <t>Accessories</t>
  </si>
  <si>
    <t>Bike Racks</t>
  </si>
  <si>
    <t>Jan</t>
  </si>
  <si>
    <t>Feb</t>
  </si>
  <si>
    <t>Mar</t>
  </si>
  <si>
    <t>Apr</t>
  </si>
  <si>
    <t>May</t>
  </si>
  <si>
    <t>Jun</t>
  </si>
  <si>
    <t>Jul</t>
  </si>
  <si>
    <t>Aug</t>
  </si>
  <si>
    <t>Sep</t>
  </si>
  <si>
    <t>Oct</t>
  </si>
  <si>
    <t>Nov</t>
  </si>
  <si>
    <t>Dec</t>
  </si>
  <si>
    <t>Bike Stands</t>
  </si>
  <si>
    <t>Bottles and Cages</t>
  </si>
  <si>
    <t>Cleaners</t>
  </si>
  <si>
    <t>Fenders</t>
  </si>
  <si>
    <t>Helmets</t>
  </si>
  <si>
    <t>Hydration Packs</t>
  </si>
  <si>
    <t>Tires and Tubes</t>
  </si>
  <si>
    <t>Bikes</t>
  </si>
  <si>
    <t>Mountain Bikes</t>
  </si>
  <si>
    <t>Road Bikes</t>
  </si>
  <si>
    <t>Touring Bikes</t>
  </si>
  <si>
    <t>Clothing</t>
  </si>
  <si>
    <t>Caps</t>
  </si>
  <si>
    <t>Gloves</t>
  </si>
  <si>
    <t>Jerseys</t>
  </si>
  <si>
    <t>Socks</t>
  </si>
  <si>
    <t>Vests</t>
  </si>
  <si>
    <t>Row Labels</t>
  </si>
  <si>
    <t>Grand Total</t>
  </si>
  <si>
    <t>Average of % Target Achieved</t>
  </si>
  <si>
    <t>Sum of Sales</t>
  </si>
  <si>
    <t>Month number</t>
  </si>
  <si>
    <t>Month</t>
  </si>
  <si>
    <t>Average of Monthly Target</t>
  </si>
  <si>
    <t>Total Sold</t>
  </si>
  <si>
    <t>Avg. Target Achivied</t>
  </si>
  <si>
    <t>Total Sales</t>
  </si>
  <si>
    <t xml:space="preserve"> Top Category</t>
  </si>
  <si>
    <t xml:space="preserve"> AVG Target Achievement</t>
  </si>
  <si>
    <t>January</t>
  </si>
  <si>
    <t>February</t>
  </si>
  <si>
    <t>March</t>
  </si>
  <si>
    <t>April</t>
  </si>
  <si>
    <t>June</t>
  </si>
  <si>
    <t>July</t>
  </si>
  <si>
    <t>August</t>
  </si>
  <si>
    <t>September</t>
  </si>
  <si>
    <t>October</t>
  </si>
  <si>
    <t>November</t>
  </si>
  <si>
    <t>December</t>
  </si>
  <si>
    <t xml:space="preserve"> € 37,329.00 </t>
  </si>
  <si>
    <t>Column Labels</t>
  </si>
  <si>
    <t>(All)</t>
  </si>
  <si>
    <t>Annual Sales by Category and Subcategory Report</t>
  </si>
  <si>
    <t>The company achieved a robust financial performance this fiscal year, reaching €16.9M in total sales and exceeding annual targets by 4% (1.04 ratio). This success was underpinned by a sustained growth trend that peaked in November (€1.98M), successfully navigating the year's most ambitious sales quotas in July.
The Bikes category remains the primary business driver, accounting for 94% of total revenue, with Mountain Bikes leading the portfolio at over €6.5M. However, the data reveals a dual-strength strategy: while Bikes provide the volume, subcategories such as Helmets, Gloves, and Bike Stands demonstrate exceptional operational efficiency, consistently delivering results 20% above their projected targets. This synergy between high-volume core products and high-efficiency accessories highlights a well-balanced commercial operation with strong momentum heading into the next cycle.</t>
  </si>
  <si>
    <r>
      <rPr>
        <b/>
        <sz val="11"/>
        <color theme="0"/>
        <rFont val="Calibri"/>
        <family val="2"/>
        <scheme val="minor"/>
      </rPr>
      <t>Andrei B. Arroyo Tanta | www.linkedin.com/in/andreibat | andreib197@tutanota.com</t>
    </r>
    <r>
      <rPr>
        <b/>
        <sz val="11"/>
        <color theme="5" tint="-0.499984740745262"/>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</si>
</sst>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quot;€&quot;_-;\-* #,##0.00\ &quot;€&quot;_-;_-* &quot;-&quot;??\ &quot;€&quot;_-;_-@_-"/>
    <numFmt numFmtId="165" formatCode="&quot;$&quot;#,##0"/>
    <numFmt numFmtId="166" formatCode="#,##0\ &quot;€&quot;"/>
    <numFmt numFmtId="167" formatCode="_-* #,##0\ &quot;€&quot;_-;\-* #,##0\ &quot;€&quot;_-;_-* &quot;-&quot;??\ &quot;€&quot;_-;_-@_-"/>
    <numFmt numFmtId="168" formatCode="_([$€-2]\ * #,##0.00_);_([$€-2]\ * \(#,##0.00\);_([$€-2]\ * &quot;-&quot;??_);_(@_)"/>
    <numFmt numFmtId="169" formatCode="[$-F400]h:mm:ss\ AM/PM"/>
  </numFmts>
  <fonts count="11" x14ac:knownFonts="1">
    <font>
      <sz val="11"/>
      <color theme="1"/>
      <name val="Calibri"/>
      <family val="2"/>
      <scheme val="minor"/>
    </font>
    <font>
      <b/>
      <sz val="15"/>
      <color theme="3"/>
      <name val="Calibri"/>
      <family val="2"/>
      <scheme val="minor"/>
    </font>
    <font>
      <sz val="11"/>
      <color theme="1"/>
      <name val="Calibri"/>
      <family val="2"/>
      <scheme val="minor"/>
    </font>
    <font>
      <sz val="18"/>
      <color theme="3"/>
      <name val="Calibri Light"/>
      <family val="2"/>
      <scheme val="major"/>
    </font>
    <font>
      <sz val="8"/>
      <name val="Calibri"/>
      <family val="2"/>
      <scheme val="minor"/>
    </font>
    <font>
      <b/>
      <sz val="24"/>
      <color theme="0"/>
      <name val="Calibri"/>
      <family val="2"/>
      <scheme val="minor"/>
    </font>
    <font>
      <b/>
      <sz val="11"/>
      <color theme="0"/>
      <name val="Calibri"/>
      <family val="2"/>
      <scheme val="minor"/>
    </font>
    <font>
      <sz val="11"/>
      <color theme="5" tint="-0.499984740745262"/>
      <name val="Calibri"/>
      <family val="2"/>
      <scheme val="minor"/>
    </font>
    <font>
      <b/>
      <sz val="11"/>
      <name val="Calibri"/>
      <family val="2"/>
      <scheme val="minor"/>
    </font>
    <font>
      <b/>
      <sz val="14"/>
      <color theme="5" tint="-0.499984740745262"/>
      <name val="Calibri"/>
      <family val="2"/>
      <scheme val="minor"/>
    </font>
    <font>
      <b/>
      <sz val="11"/>
      <color theme="5" tint="-0.499984740745262"/>
      <name val="Calibri"/>
      <family val="2"/>
      <scheme val="minor"/>
    </font>
  </fonts>
  <fills count="8">
    <fill>
      <patternFill patternType="none"/>
    </fill>
    <fill>
      <patternFill patternType="gray125"/>
    </fill>
    <fill>
      <patternFill patternType="solid">
        <fgColor rgb="FFA4B7B0"/>
        <bgColor indexed="64"/>
      </patternFill>
    </fill>
    <fill>
      <patternFill patternType="solid">
        <fgColor rgb="FF4C5D55"/>
        <bgColor indexed="64"/>
      </patternFill>
    </fill>
    <fill>
      <patternFill patternType="solid">
        <fgColor theme="4" tint="0.79998168889431442"/>
        <bgColor theme="4" tint="0.79998168889431442"/>
      </patternFill>
    </fill>
    <fill>
      <patternFill patternType="solid">
        <fgColor theme="5" tint="-0.499984740745262"/>
        <bgColor indexed="64"/>
      </patternFill>
    </fill>
    <fill>
      <patternFill patternType="solid">
        <fgColor theme="2" tint="-0.249977111117893"/>
        <bgColor indexed="64"/>
      </patternFill>
    </fill>
    <fill>
      <patternFill patternType="solid">
        <fgColor theme="0" tint="-0.14999847407452621"/>
        <bgColor indexed="64"/>
      </patternFill>
    </fill>
  </fills>
  <borders count="8">
    <border>
      <left/>
      <right/>
      <top/>
      <bottom/>
      <diagonal/>
    </border>
    <border>
      <left/>
      <right/>
      <top/>
      <bottom style="thick">
        <color theme="4"/>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style="thin">
        <color theme="4" tint="0.39997558519241921"/>
      </left>
      <right/>
      <top style="thin">
        <color theme="4" tint="0.39997558519241921"/>
      </top>
      <bottom/>
      <diagonal/>
    </border>
  </borders>
  <cellStyleXfs count="5">
    <xf numFmtId="0" fontId="0" fillId="0" borderId="0"/>
    <xf numFmtId="0" fontId="1" fillId="0" borderId="1" applyNumberFormat="0" applyFill="0" applyAlignment="0" applyProtection="0"/>
    <xf numFmtId="0" fontId="3" fillId="0" borderId="0" applyNumberForma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38">
    <xf numFmtId="0" fontId="0" fillId="0" borderId="0" xfId="0"/>
    <xf numFmtId="165" fontId="0" fillId="0" borderId="0" xfId="0" applyNumberFormat="1"/>
    <xf numFmtId="0" fontId="3" fillId="0" borderId="0" xfId="2" applyBorder="1"/>
    <xf numFmtId="0" fontId="1" fillId="0" borderId="0" xfId="1" applyBorder="1"/>
    <xf numFmtId="9" fontId="0" fillId="0" borderId="0" xfId="3" applyFon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7" fontId="0" fillId="0" borderId="0" xfId="4" applyNumberFormat="1" applyFont="1"/>
    <xf numFmtId="2" fontId="0" fillId="0" borderId="0" xfId="0" applyNumberFormat="1"/>
    <xf numFmtId="0" fontId="0" fillId="3" borderId="0" xfId="0" applyFill="1"/>
    <xf numFmtId="0" fontId="7" fillId="5" borderId="0" xfId="0" applyFont="1" applyFill="1"/>
    <xf numFmtId="169" fontId="0" fillId="0" borderId="0" xfId="0" applyNumberFormat="1"/>
    <xf numFmtId="168" fontId="0" fillId="0" borderId="0" xfId="0" applyNumberFormat="1"/>
    <xf numFmtId="164" fontId="0" fillId="0" borderId="0" xfId="0" applyNumberFormat="1"/>
    <xf numFmtId="0" fontId="0" fillId="4" borderId="4" xfId="0" applyFill="1" applyBorder="1"/>
    <xf numFmtId="0" fontId="0" fillId="0" borderId="4" xfId="0" applyBorder="1"/>
    <xf numFmtId="0" fontId="0" fillId="4" borderId="5" xfId="0" applyFill="1" applyBorder="1"/>
    <xf numFmtId="0" fontId="0" fillId="0" borderId="5" xfId="0" applyBorder="1"/>
    <xf numFmtId="168" fontId="0" fillId="0" borderId="5" xfId="0" applyNumberFormat="1" applyBorder="1"/>
    <xf numFmtId="168" fontId="0" fillId="4" borderId="5" xfId="0" applyNumberFormat="1" applyFill="1" applyBorder="1"/>
    <xf numFmtId="0" fontId="0" fillId="4" borderId="2" xfId="0" applyFill="1" applyBorder="1"/>
    <xf numFmtId="0" fontId="0" fillId="0" borderId="6" xfId="0" applyBorder="1"/>
    <xf numFmtId="168" fontId="0" fillId="0" borderId="2" xfId="0" applyNumberFormat="1" applyBorder="1"/>
    <xf numFmtId="0" fontId="0" fillId="0" borderId="3" xfId="0" applyBorder="1"/>
    <xf numFmtId="0" fontId="0" fillId="0" borderId="7" xfId="0" applyBorder="1"/>
    <xf numFmtId="168" fontId="0" fillId="0" borderId="3" xfId="0" applyNumberFormat="1" applyBorder="1"/>
    <xf numFmtId="0" fontId="9" fillId="3" borderId="0" xfId="0" applyFont="1" applyFill="1" applyAlignment="1">
      <alignment horizontal="center" vertical="center" wrapText="1"/>
    </xf>
    <xf numFmtId="0" fontId="9" fillId="3" borderId="0" xfId="0" applyFont="1" applyFill="1" applyAlignment="1">
      <alignment horizontal="center" vertical="center"/>
    </xf>
    <xf numFmtId="0" fontId="10" fillId="5" borderId="0" xfId="0" applyFont="1" applyFill="1"/>
    <xf numFmtId="164" fontId="9" fillId="6" borderId="0" xfId="4" applyFont="1" applyFill="1" applyAlignment="1">
      <alignment horizontal="center" vertical="center"/>
    </xf>
    <xf numFmtId="0" fontId="10" fillId="5" borderId="0" xfId="0" applyFont="1" applyFill="1" applyAlignment="1">
      <alignment horizontal="right" vertical="center"/>
    </xf>
    <xf numFmtId="0" fontId="8" fillId="2" borderId="0" xfId="0" applyFont="1" applyFill="1" applyAlignment="1">
      <alignment horizontal="center" vertical="center" wrapText="1"/>
    </xf>
    <xf numFmtId="0" fontId="9" fillId="7" borderId="0" xfId="0" applyFont="1" applyFill="1" applyAlignment="1">
      <alignment horizontal="center" vertical="center" wrapText="1"/>
    </xf>
    <xf numFmtId="0" fontId="9" fillId="6" borderId="0" xfId="0" applyFont="1" applyFill="1" applyAlignment="1">
      <alignment horizontal="center" vertical="center"/>
    </xf>
    <xf numFmtId="0" fontId="5" fillId="3" borderId="0" xfId="0" applyFont="1" applyFill="1" applyAlignment="1">
      <alignment horizontal="center" vertical="center"/>
    </xf>
    <xf numFmtId="10" fontId="9" fillId="6" borderId="0" xfId="3" applyNumberFormat="1" applyFont="1" applyFill="1" applyAlignment="1">
      <alignment horizontal="center" vertical="center"/>
    </xf>
  </cellXfs>
  <cellStyles count="5">
    <cellStyle name="Currency" xfId="4" builtinId="4"/>
    <cellStyle name="Heading 1" xfId="1" builtinId="16"/>
    <cellStyle name="Normal" xfId="0" builtinId="0"/>
    <cellStyle name="Percent" xfId="3" builtinId="5"/>
    <cellStyle name="Title" xfId="2" builtinId="15"/>
  </cellStyles>
  <dxfs count="2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164" formatCode="_-* #,##0.00\ &quot;€&quot;_-;\-* #,##0.00\ &quot;€&quot;_-;_-* &quot;-&quot;??\ &quot;€&quot;_-;_-@_-"/>
    </dxf>
    <dxf>
      <numFmt numFmtId="164" formatCode="_-* #,##0.00\ &quot;€&quot;_-;\-* #,##0.00\ &quot;€&quot;_-;_-* &quot;-&quot;??\ &quot;€&quot;_-;_-@_-"/>
    </dxf>
    <dxf>
      <font>
        <b val="0"/>
        <i val="0"/>
        <strike val="0"/>
        <condense val="0"/>
        <extend val="0"/>
        <outline val="0"/>
        <shadow val="0"/>
        <u val="none"/>
        <vertAlign val="baseline"/>
        <sz val="11"/>
        <color theme="1"/>
        <name val="Calibri"/>
        <family val="2"/>
        <scheme val="minor"/>
      </font>
      <numFmt numFmtId="168" formatCode="_([$€-2]\ * #,##0.00_);_([$€-2]\ * \(#,##0.00\);_([$€-2]\ * &quot;-&quot;??_);_(@_)"/>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numFmt numFmtId="168" formatCode="_([$€-2]\ * #,##0.00_);_([$€-2]\ * \(#,##0.00\);_([$€-2]\ * &quot;-&quot;??_);_(@_)"/>
    </dxf>
    <dxf>
      <numFmt numFmtId="168" formatCode="_([$€-2]\ * #,##0.00_);_([$€-2]\ * \(#,##0.00\);_([$€-2]\ * &quot;-&quot;??_);_(@_)"/>
    </dxf>
    <dxf>
      <numFmt numFmtId="164" formatCode="_-* #,##0.00\ &quot;€&quot;_-;\-* #,##0.00\ &quot;€&quot;_-;_-* &quot;-&quot;??\ &quot;€&quot;_-;_-@_-"/>
    </dxf>
    <dxf>
      <font>
        <b val="0"/>
        <i val="0"/>
        <strike val="0"/>
        <condense val="0"/>
        <extend val="0"/>
        <outline val="0"/>
        <shadow val="0"/>
        <u val="none"/>
        <vertAlign val="baseline"/>
        <sz val="11"/>
        <color theme="1"/>
        <name val="Calibri"/>
        <family val="2"/>
        <scheme val="minor"/>
      </font>
    </dxf>
    <dxf>
      <numFmt numFmtId="166" formatCode="#,##0\ &quot;€&quot;"/>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4B7B0"/>
      <color rgb="FF4C5D55"/>
      <color rgb="FF7D9B95"/>
      <color rgb="FFA9DB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[BusinessDash2.xlsx]PvtSalesMonth&amp;Cat!PivotTable1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7D9B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'PvtSalesMonth&amp;Cat'!$B$5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forward val="1"/>
            <c:dispRSqr val="0"/>
            <c:dispEq val="0"/>
          </c:trendline>
          <c:cat>
            <c:strRef>
              <c:f>'PvtSalesMonth&amp;Cat'!$A$6:$A$18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'PvtSalesMonth&amp;Cat'!$B$6:$B$18</c:f>
              <c:numCache>
                <c:formatCode>General</c:formatCode>
                <c:ptCount val="12"/>
                <c:pt idx="0">
                  <c:v>871548</c:v>
                </c:pt>
                <c:pt idx="1">
                  <c:v>858779</c:v>
                </c:pt>
                <c:pt idx="2">
                  <c:v>1000224</c:v>
                </c:pt>
                <c:pt idx="3">
                  <c:v>1132150</c:v>
                </c:pt>
                <c:pt idx="4">
                  <c:v>1226780</c:v>
                </c:pt>
                <c:pt idx="5">
                  <c:v>1713859</c:v>
                </c:pt>
                <c:pt idx="6">
                  <c:v>1355346</c:v>
                </c:pt>
                <c:pt idx="7">
                  <c:v>1577993</c:v>
                </c:pt>
                <c:pt idx="8">
                  <c:v>1508107</c:v>
                </c:pt>
                <c:pt idx="9">
                  <c:v>1675246</c:v>
                </c:pt>
                <c:pt idx="10">
                  <c:v>1975865</c:v>
                </c:pt>
                <c:pt idx="11">
                  <c:v>1978825</c:v>
                </c:pt>
              </c:numCache>
            </c:numRef>
          </c:val>
          <c:smooth val="1"/>
          <c:extLst>
            <c:ext xmlns:c16="http://schemas.microsoft.com/office/drawing/2014/chart" uri="{C3380CC4-5D6E-409C-BE32-E72D297353CC}">
              <c16:uniqueId val="{00000000-4F25-4AE1-A077-E5A28641384E}"/>
            </c:ext>
          </c:extLst>
        </c:ser>
        <c:dLbls>
          <c:showLegendKey val="0"/>
          <c:showVal val="0"/>
          <c:showCatName val="0"/>
          <c:showSerName val="0"/>
          <c:showPercent val="0"/>
          <c:showBubbleSize val="0"/>
        </c:dLbls>
        <c:marker val="1"/>
        <c:smooth val="0"/>
        <c:axId val="1818379823"/>
        <c:axId val="1818382223"/>
      </c:lineChart>
      <c:catAx>
        <c:axId val="181837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382223"/>
        <c:crosses val="autoZero"/>
        <c:auto val="1"/>
        <c:lblAlgn val="ctr"/>
        <c:lblOffset val="100"/>
        <c:noMultiLvlLbl val="0"/>
      </c:catAx>
      <c:valAx>
        <c:axId val="181838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379823"/>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[BusinessDash2.xlsx]PvtTopSubC!PivotTable5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Top 5 Sub Categories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PvtTopSubC!$B$3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PvtTopSubC!$A$4:$A$9</c:f>
              <c:strCache>
                <c:ptCount val="5"/>
                <c:pt idx="0">
                  <c:v>Mountain Bikes</c:v>
                </c:pt>
                <c:pt idx="1">
                  <c:v>Road Bikes</c:v>
                </c:pt>
                <c:pt idx="2">
                  <c:v>Touring Bikes</c:v>
                </c:pt>
                <c:pt idx="3">
                  <c:v>Tires and Tubes</c:v>
                </c:pt>
                <c:pt idx="4">
                  <c:v>Helmets</c:v>
                </c:pt>
              </c:strCache>
            </c:strRef>
          </c:cat>
          <c:val>
            <c:numRef>
              <c:f>PvtTopSubC!$B$4:$B$9</c:f>
              <c:numCache>
                <c:formatCode>_-* #,##0.00\ "€"_-;\-* #,##0.00\ "€"_-;_-* "-"??\ "€"_-;_-@_-</c:formatCode>
                <c:ptCount val="5"/>
                <c:pt idx="0">
                  <c:v>6533896</c:v>
                </c:pt>
                <c:pt idx="1">
                  <c:v>5257429</c:v>
                </c:pt>
                <c:pt idx="2">
                  <c:v>4055497</c:v>
                </c:pt>
                <c:pt idx="3">
                  <c:v>243245</c:v>
                </c:pt>
                <c:pt idx="4">
                  <c:v>222373</c:v>
                </c:pt>
              </c:numCache>
            </c:numRef>
          </c:val>
          <c:extLst>
            <c:ext xmlns:c16="http://schemas.microsoft.com/office/drawing/2014/chart" uri="{C3380CC4-5D6E-409C-BE32-E72D297353CC}">
              <c16:uniqueId val="{00000000-65B2-4FA4-8044-53886A131F40}"/>
            </c:ext>
          </c:extLst>
        </c:ser>
        <c:dLbls>
          <c:showLegendKey val="0"/>
          <c:showVal val="0"/>
          <c:showCatName val="0"/>
          <c:showSerName val="0"/>
          <c:showPercent val="0"/>
          <c:showBubbleSize val="0"/>
        </c:dLbls>
        <c:gapWidth val="182"/>
        <c:axId val="2111525935"/>
        <c:axId val="2111513935"/>
      </c:barChart>
      <c:catAx>
        <c:axId val="2111525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13935"/>
        <c:crosses val="autoZero"/>
        <c:auto val="1"/>
        <c:lblAlgn val="ctr"/>
        <c:lblOffset val="100"/>
        <c:noMultiLvlLbl val="0"/>
      </c:catAx>
      <c:valAx>
        <c:axId val="2111513935"/>
        <c:scaling>
          <c:orientation val="minMax"/>
        </c:scaling>
        <c:delete val="0"/>
        <c:axPos val="b"/>
        <c:numFmt formatCode="_-* #,##0.00\ &quot;€&quot;_-;\-* #,##0.0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2593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[BusinessDash2.xlsx]PvtSubcategoryTargets!PivotTable4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Target</a:t>
            </a:r>
            <a:r>
              <a:rPr lang="en-US" b="1" baseline="0"/>
              <a:t> Achieved per Subcategory</a:t>
            </a:r>
            <a:endParaRPr lang="en-US" b="1"/>
          </a:p>
        </c:rich>
      </c:tx>
      <c:layout>
        <c:manualLayout>
          <c:xMode val="edge"/>
          <c:yMode val="edge"/>
          <c:x val="0.22546329365079365"/>
          <c:y val="5.56892224320640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D9B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D9B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PvtSubcategoryTargets!$B$59</c:f>
              <c:strCache>
                <c:ptCount val="1"/>
                <c:pt idx="0">
                  <c:v>Total</c:v>
                </c:pt>
              </c:strCache>
            </c:strRef>
          </c:tx>
          <c:spPr>
            <a:solidFill>
              <a:schemeClr val="accent2">
                <a:lumMod val="75000"/>
              </a:schemeClr>
            </a:solidFill>
            <a:ln>
              <a:noFill/>
            </a:ln>
            <a:effectLst/>
          </c:spPr>
          <c:invertIfNegative val="0"/>
          <c:cat>
            <c:strRef>
              <c:f>PvtSubcategoryTargets!$A$60:$A$77</c:f>
              <c:strCache>
                <c:ptCount val="17"/>
                <c:pt idx="0">
                  <c:v>Bike Racks</c:v>
                </c:pt>
                <c:pt idx="1">
                  <c:v>Bike Stands</c:v>
                </c:pt>
                <c:pt idx="2">
                  <c:v>Bottles and Cages</c:v>
                </c:pt>
                <c:pt idx="3">
                  <c:v>Caps</c:v>
                </c:pt>
                <c:pt idx="4">
                  <c:v>Cleaners</c:v>
                </c:pt>
                <c:pt idx="5">
                  <c:v>Fenders</c:v>
                </c:pt>
                <c:pt idx="6">
                  <c:v>Gloves</c:v>
                </c:pt>
                <c:pt idx="7">
                  <c:v>Helmets</c:v>
                </c:pt>
                <c:pt idx="8">
                  <c:v>Hydration Packs</c:v>
                </c:pt>
                <c:pt idx="9">
                  <c:v>Jerseys</c:v>
                </c:pt>
                <c:pt idx="10">
                  <c:v>Mountain Bikes</c:v>
                </c:pt>
                <c:pt idx="11">
                  <c:v>Road Bikes</c:v>
                </c:pt>
                <c:pt idx="12">
                  <c:v>Shorts</c:v>
                </c:pt>
                <c:pt idx="13">
                  <c:v>Socks</c:v>
                </c:pt>
                <c:pt idx="14">
                  <c:v>Tires and Tubes</c:v>
                </c:pt>
                <c:pt idx="15">
                  <c:v>Touring Bikes</c:v>
                </c:pt>
                <c:pt idx="16">
                  <c:v>Vests</c:v>
                </c:pt>
              </c:strCache>
            </c:strRef>
          </c:cat>
          <c:val>
            <c:numRef>
              <c:f>PvtSubcategoryTargets!$B$60:$B$77</c:f>
              <c:numCache>
                <c:formatCode>General</c:formatCode>
                <c:ptCount val="17"/>
                <c:pt idx="0">
                  <c:v>0.91492647058823529</c:v>
                </c:pt>
                <c:pt idx="1">
                  <c:v>1.2106481481481484</c:v>
                </c:pt>
                <c:pt idx="2">
                  <c:v>0.86066964285714231</c:v>
                </c:pt>
                <c:pt idx="3">
                  <c:v>1.0853645833333334</c:v>
                </c:pt>
                <c:pt idx="4">
                  <c:v>1.1555</c:v>
                </c:pt>
                <c:pt idx="5">
                  <c:v>1.0217129629629622</c:v>
                </c:pt>
                <c:pt idx="6">
                  <c:v>1.1955902777777767</c:v>
                </c:pt>
                <c:pt idx="7">
                  <c:v>1.2191502192982453</c:v>
                </c:pt>
                <c:pt idx="8">
                  <c:v>0.88313596491228052</c:v>
                </c:pt>
                <c:pt idx="9">
                  <c:v>0.95225555555555574</c:v>
                </c:pt>
                <c:pt idx="10">
                  <c:v>1.0752198525539767</c:v>
                </c:pt>
                <c:pt idx="11">
                  <c:v>1.1627364207360233</c:v>
                </c:pt>
                <c:pt idx="12">
                  <c:v>0.89740885416666671</c:v>
                </c:pt>
                <c:pt idx="13">
                  <c:v>1.2327083333333335</c:v>
                </c:pt>
                <c:pt idx="14">
                  <c:v>0.91721342383107052</c:v>
                </c:pt>
                <c:pt idx="15">
                  <c:v>0.90074116027007722</c:v>
                </c:pt>
                <c:pt idx="16">
                  <c:v>1.0066954022988512</c:v>
                </c:pt>
              </c:numCache>
            </c:numRef>
          </c:val>
          <c:extLst>
            <c:ext xmlns:c16="http://schemas.microsoft.com/office/drawing/2014/chart" uri="{C3380CC4-5D6E-409C-BE32-E72D297353CC}">
              <c16:uniqueId val="{00000002-5867-4AC5-895D-CBFD62E94608}"/>
            </c:ext>
          </c:extLst>
        </c:ser>
        <c:dLbls>
          <c:showLegendKey val="0"/>
          <c:showVal val="0"/>
          <c:showCatName val="0"/>
          <c:showSerName val="0"/>
          <c:showPercent val="0"/>
          <c:showBubbleSize val="0"/>
        </c:dLbls>
        <c:gapWidth val="182"/>
        <c:axId val="1874390575"/>
        <c:axId val="1874394415"/>
      </c:barChart>
      <c:catAx>
        <c:axId val="187439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94415"/>
        <c:crosses val="autoZero"/>
        <c:auto val="1"/>
        <c:lblAlgn val="ctr"/>
        <c:lblOffset val="100"/>
        <c:noMultiLvlLbl val="0"/>
      </c:catAx>
      <c:valAx>
        <c:axId val="1874394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9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[BusinessDash2.xlsx]PvtSalesMonth&amp;Cat!PivotTable3</c:name>
    <c:fmtId val="13"/>
  </c:pivotSource>
  <c:chart>
    <c:title>
      <c:tx>
        <c:rich>
          <a:bodyPr/>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Total Sales by Category</a:t>
            </a:r>
          </a:p>
        </c:rich>
      </c:tx>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3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5"/>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3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7"/>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38"/>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1"/>
          <c:tx>
            <c:strRef>
              <c:f>'PvtSalesMonth&amp;Cat'!$C$23:$C$24</c:f>
              <c:strCache>
                <c:ptCount val="1"/>
                <c:pt idx="0">
                  <c:v>Bikes</c:v>
                </c:pt>
              </c:strCache>
            </c:strRef>
          </c:tx>
          <c:spPr>
            <a:solidFill>
              <a:schemeClr val="accent2"/>
            </a:solidFill>
            <a:ln w="19050">
              <a:solidFill>
                <a:schemeClr val="lt1"/>
              </a:solidFill>
            </a:ln>
            <a:effectLst/>
          </c:spPr>
          <c:invertIfNegative val="0"/>
          <c:cat>
            <c:strRef>
              <c:f>'PvtSalesMonth&amp;Cat'!$A$25:$A$37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'PvtSalesMonth&amp;Cat'!$C$25:$C$37</c:f>
              <c:numCache>
                <c:formatCode>_-* #,##0.00\ "€"_-;\-* #,##0.00\ "€"_-;_-* "-"??\ "€"_-;_-@_-</c:formatCode>
                <c:ptCount val="12"/>
                <c:pt idx="0">
                  <c:v>849914</c:v>
                </c:pt>
                <c:pt idx="1">
                  <c:v>782134</c:v>
                </c:pt>
                <c:pt idx="2">
                  <c:v>918078</c:v>
                </c:pt>
                <c:pt idx="3">
                  <c:v>1052389</c:v>
                </c:pt>
                <c:pt idx="4">
                  <c:v>1144727</c:v>
                </c:pt>
                <c:pt idx="5">
                  <c:v>1610701</c:v>
                </c:pt>
                <c:pt idx="6">
                  <c:v>1264374</c:v>
                </c:pt>
                <c:pt idx="7">
                  <c:v>1486400</c:v>
                </c:pt>
                <c:pt idx="8">
                  <c:v>1417403</c:v>
                </c:pt>
                <c:pt idx="9">
                  <c:v>1580144</c:v>
                </c:pt>
                <c:pt idx="10">
                  <c:v>1867357</c:v>
                </c:pt>
                <c:pt idx="11">
                  <c:v>1873201</c:v>
                </c:pt>
              </c:numCache>
            </c:numRef>
          </c:val>
          <c:extLst>
            <c:ext xmlns:c16="http://schemas.microsoft.com/office/drawing/2014/chart" uri="{C3380CC4-5D6E-409C-BE32-E72D297353CC}">
              <c16:uniqueId val="{0000001C-7832-40FD-96AB-DF746883DF10}"/>
            </c:ext>
          </c:extLst>
        </c:ser>
        <c:dLbls>
          <c:showLegendKey val="0"/>
          <c:showVal val="0"/>
          <c:showCatName val="0"/>
          <c:showSerName val="0"/>
          <c:showPercent val="0"/>
          <c:showBubbleSize val="0"/>
        </c:dLbls>
        <c:gapWidth val="100"/>
        <c:axId val="724361216"/>
        <c:axId val="724350176"/>
      </c:barChart>
      <c:lineChart>
        <c:grouping val="standard"/>
        <c:varyColors val="0"/>
        <c:ser>
          <c:idx val="0"/>
          <c:order val="0"/>
          <c:tx>
            <c:strRef>
              <c:f>'PvtSalesMonth&amp;Cat'!$B$23:$B$24</c:f>
              <c:strCache>
                <c:ptCount val="1"/>
                <c:pt idx="0">
                  <c:v>Accessories</c:v>
                </c:pt>
              </c:strCache>
            </c:strRef>
          </c:tx>
          <c:spPr>
            <a:ln w="28575" cap="rnd">
              <a:solidFill>
                <a:schemeClr val="accent1"/>
              </a:solidFill>
              <a:round/>
            </a:ln>
            <a:effectLst/>
          </c:spPr>
          <c:marker>
            <c:symbol val="none"/>
          </c:marker>
          <c:cat>
            <c:strRef>
              <c:f>'PvtSalesMonth&amp;Cat'!$A$25:$A$37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'PvtSalesMonth&amp;Cat'!$B$25:$B$37</c:f>
              <c:numCache>
                <c:formatCode>_-* #,##0.00\ "€"_-;\-* #,##0.00\ "€"_-;_-* "-"??\ "€"_-;_-@_-</c:formatCode>
                <c:ptCount val="12"/>
                <c:pt idx="0">
                  <c:v>14811</c:v>
                </c:pt>
                <c:pt idx="1">
                  <c:v>52759</c:v>
                </c:pt>
                <c:pt idx="2">
                  <c:v>54908</c:v>
                </c:pt>
                <c:pt idx="3">
                  <c:v>54740</c:v>
                </c:pt>
                <c:pt idx="4">
                  <c:v>56046</c:v>
                </c:pt>
                <c:pt idx="5">
                  <c:v>69833</c:v>
                </c:pt>
                <c:pt idx="6">
                  <c:v>60494</c:v>
                </c:pt>
                <c:pt idx="7">
                  <c:v>63082</c:v>
                </c:pt>
                <c:pt idx="8">
                  <c:v>59743</c:v>
                </c:pt>
                <c:pt idx="9">
                  <c:v>62709</c:v>
                </c:pt>
                <c:pt idx="10">
                  <c:v>74855</c:v>
                </c:pt>
                <c:pt idx="11">
                  <c:v>67371</c:v>
                </c:pt>
              </c:numCache>
            </c:numRef>
          </c:val>
          <c:smooth val="0"/>
          <c:extLst>
            <c:ext xmlns:c16="http://schemas.microsoft.com/office/drawing/2014/chart" uri="{C3380CC4-5D6E-409C-BE32-E72D297353CC}">
              <c16:uniqueId val="{00000015-7832-40FD-96AB-DF746883DF10}"/>
            </c:ext>
          </c:extLst>
        </c:ser>
        <c:ser>
          <c:idx val="2"/>
          <c:order val="2"/>
          <c:tx>
            <c:strRef>
              <c:f>'PvtSalesMonth&amp;Cat'!$D$23:$D$24</c:f>
              <c:strCache>
                <c:ptCount val="1"/>
                <c:pt idx="0">
                  <c:v>Clothing</c:v>
                </c:pt>
              </c:strCache>
            </c:strRef>
          </c:tx>
          <c:spPr>
            <a:ln w="28575" cap="rnd">
              <a:solidFill>
                <a:schemeClr val="accent3"/>
              </a:solidFill>
              <a:round/>
            </a:ln>
            <a:effectLst/>
          </c:spPr>
          <c:marker>
            <c:symbol val="none"/>
          </c:marker>
          <c:cat>
            <c:strRef>
              <c:f>'PvtSalesMonth&amp;Cat'!$A$25:$A$37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'PvtSalesMonth&amp;Cat'!$D$25:$D$37</c:f>
              <c:numCache>
                <c:formatCode>_-* #,##0.00\ "€"_-;\-* #,##0.00\ "€"_-;_-* "-"??\ "€"_-;_-@_-</c:formatCode>
                <c:ptCount val="12"/>
                <c:pt idx="0">
                  <c:v>6823</c:v>
                </c:pt>
                <c:pt idx="1">
                  <c:v>23886</c:v>
                </c:pt>
                <c:pt idx="2">
                  <c:v>27238</c:v>
                </c:pt>
                <c:pt idx="3">
                  <c:v>25021</c:v>
                </c:pt>
                <c:pt idx="4">
                  <c:v>26007</c:v>
                </c:pt>
                <c:pt idx="5">
                  <c:v>33325</c:v>
                </c:pt>
                <c:pt idx="6">
                  <c:v>30478</c:v>
                </c:pt>
                <c:pt idx="7">
                  <c:v>28511</c:v>
                </c:pt>
                <c:pt idx="8">
                  <c:v>30961</c:v>
                </c:pt>
                <c:pt idx="9">
                  <c:v>32393</c:v>
                </c:pt>
                <c:pt idx="10">
                  <c:v>33653</c:v>
                </c:pt>
                <c:pt idx="11">
                  <c:v>38253</c:v>
                </c:pt>
              </c:numCache>
            </c:numRef>
          </c:val>
          <c:smooth val="0"/>
          <c:extLst>
            <c:ext xmlns:c16="http://schemas.microsoft.com/office/drawing/2014/chart" uri="{C3380CC4-5D6E-409C-BE32-E72D297353CC}">
              <c16:uniqueId val="{0000001D-7832-40FD-96AB-DF746883DF10}"/>
            </c:ext>
          </c:extLst>
        </c:ser>
        <c:dLbls>
          <c:showLegendKey val="0"/>
          <c:showVal val="0"/>
          <c:showCatName val="0"/>
          <c:showSerName val="0"/>
          <c:showPercent val="0"/>
          <c:showBubbleSize val="0"/>
        </c:dLbls>
        <c:marker val="1"/>
        <c:smooth val="0"/>
        <c:axId val="2120946944"/>
        <c:axId val="2120926784"/>
      </c:lineChart>
      <c:catAx>
        <c:axId val="72436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50176"/>
        <c:crosses val="autoZero"/>
        <c:auto val="1"/>
        <c:lblAlgn val="ctr"/>
        <c:lblOffset val="100"/>
        <c:noMultiLvlLbl val="0"/>
      </c:catAx>
      <c:valAx>
        <c:axId val="724350176"/>
        <c:scaling>
          <c:orientation val="minMax"/>
        </c:scaling>
        <c:delete val="0"/>
        <c:axPos val="l"/>
        <c:numFmt formatCode="_-* #,##0.00\ &quot;€&quot;_-;\-* #,##0.00\ &quot;€&quot;_-;_-* &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61216"/>
        <c:crosses val="autoZero"/>
        <c:crossBetween val="between"/>
        <c:dispUnits>
          <c:builtInUnit val="millions"/>
          <c:dispUnitsLbl/>
        </c:dispUnits>
      </c:valAx>
      <c:valAx>
        <c:axId val="2120926784"/>
        <c:scaling>
          <c:orientation val="minMax"/>
        </c:scaling>
        <c:delete val="0"/>
        <c:axPos val="r"/>
        <c:numFmt formatCode="_-* #,##0.00\ &quot;€&quot;_-;\-* #,##0.00\ &quot;€&quot;_-;_-* &quot;-&quot;??\ &quot;€&quot;_-;_-@_-" sourceLinked="1"/>
        <c:majorTickMark val="out"/>
        <c:minorTickMark val="none"/>
        <c:tickLblPos val="nextTo"/>
        <c:crossAx val="2120946944"/>
        <c:crosses val="max"/>
        <c:crossBetween val="between"/>
        <c:dispUnits>
          <c:builtInUnit val="thousands"/>
          <c:dispUnitsLbl/>
        </c:dispUnits>
      </c:valAx>
      <c:catAx>
        <c:axId val="2120946944"/>
        <c:scaling>
          <c:orientation val="minMax"/>
        </c:scaling>
        <c:delete val="1"/>
        <c:axPos val="b"/>
        <c:numFmt formatCode="General" sourceLinked="1"/>
        <c:majorTickMark val="out"/>
        <c:minorTickMark val="none"/>
        <c:tickLblPos val="nextTo"/>
        <c:crossAx val="2120926784"/>
        <c:crosses val="autoZero"/>
        <c:auto val="1"/>
        <c:lblAlgn val="ctr"/>
        <c:lblOffset val="100"/>
        <c:noMultiLvlLbl val="0"/>
      </c:cat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[BusinessDash2.xlsx]PvtSalesMonth&amp;Cat!PivotTable1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'PvtSalesMonth&amp;Cat'!$B$5</c:f>
              <c:strCache>
                <c:ptCount val="1"/>
                <c:pt idx="0">
                  <c:v>Total</c:v>
                </c:pt>
              </c:strCache>
            </c:strRef>
          </c:tx>
          <c:spPr>
            <a:ln w="28575" cap="rnd">
              <a:solidFill>
                <a:schemeClr val="accent1"/>
              </a:solidFill>
              <a:round/>
            </a:ln>
            <a:effectLst/>
          </c:spPr>
          <c:marker>
            <c:symbol val="none"/>
          </c:marker>
          <c:cat>
            <c:strRef>
              <c:f>'PvtSalesMonth&amp;Cat'!$A$6:$A$18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'PvtSalesMonth&amp;Cat'!$B$6:$B$18</c:f>
              <c:numCache>
                <c:formatCode>General</c:formatCode>
                <c:ptCount val="12"/>
                <c:pt idx="0">
                  <c:v>871548</c:v>
                </c:pt>
                <c:pt idx="1">
                  <c:v>858779</c:v>
                </c:pt>
                <c:pt idx="2">
                  <c:v>1000224</c:v>
                </c:pt>
                <c:pt idx="3">
                  <c:v>1132150</c:v>
                </c:pt>
                <c:pt idx="4">
                  <c:v>1226780</c:v>
                </c:pt>
                <c:pt idx="5">
                  <c:v>1713859</c:v>
                </c:pt>
                <c:pt idx="6">
                  <c:v>1355346</c:v>
                </c:pt>
                <c:pt idx="7">
                  <c:v>1577993</c:v>
                </c:pt>
                <c:pt idx="8">
                  <c:v>1508107</c:v>
                </c:pt>
                <c:pt idx="9">
                  <c:v>1675246</c:v>
                </c:pt>
                <c:pt idx="10">
                  <c:v>1975865</c:v>
                </c:pt>
                <c:pt idx="11">
                  <c:v>1978825</c:v>
                </c:pt>
              </c:numCache>
            </c:numRef>
          </c:val>
          <c:smooth val="0"/>
          <c:extLst>
            <c:ext xmlns:c16="http://schemas.microsoft.com/office/drawing/2014/chart" uri="{C3380CC4-5D6E-409C-BE32-E72D297353CC}">
              <c16:uniqueId val="{00000003-8CDC-4283-A504-FE385F99E6F5}"/>
            </c:ext>
          </c:extLst>
        </c:ser>
        <c:dLbls>
          <c:showLegendKey val="0"/>
          <c:showVal val="0"/>
          <c:showCatName val="0"/>
          <c:showSerName val="0"/>
          <c:showPercent val="0"/>
          <c:showBubbleSize val="0"/>
        </c:dLbls>
        <c:smooth val="0"/>
        <c:axId val="1818379823"/>
        <c:axId val="1818382223"/>
      </c:lineChart>
      <c:catAx>
        <c:axId val="181837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382223"/>
        <c:crosses val="autoZero"/>
        <c:auto val="1"/>
        <c:lblAlgn val="ctr"/>
        <c:lblOffset val="100"/>
        <c:noMultiLvlLbl val="0"/>
      </c:catAx>
      <c:valAx>
        <c:axId val="181838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37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[BusinessDash2.xlsx]PvtSalesMonth&amp;Cat!PivotTable3</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'PvtSalesMonth&amp;Cat'!$C$23:$C$24</c:f>
              <c:strCache>
                <c:ptCount val="1"/>
                <c:pt idx="0">
                  <c:v>Bikes</c:v>
                </c:pt>
              </c:strCache>
            </c:strRef>
          </c:tx>
          <c:spPr>
            <a:solidFill>
              <a:schemeClr val="accent2"/>
            </a:solidFill>
            <a:ln w="19050">
              <a:solidFill>
                <a:schemeClr val="lt1"/>
              </a:solidFill>
            </a:ln>
            <a:effectLst/>
          </c:spPr>
          <c:invertIfNegative val="0"/>
          <c:cat>
            <c:strRef>
              <c:f>'PvtSalesMonth&amp;Cat'!$A$25:$A$37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'PvtSalesMonth&amp;Cat'!$C$25:$C$37</c:f>
              <c:numCache>
                <c:formatCode>_-* #,##0.00\ "€"_-;\-* #,##0.00\ "€"_-;_-* "-"??\ "€"_-;_-@_-</c:formatCode>
                <c:ptCount val="12"/>
                <c:pt idx="0">
                  <c:v>849914</c:v>
                </c:pt>
                <c:pt idx="1">
                  <c:v>782134</c:v>
                </c:pt>
                <c:pt idx="2">
                  <c:v>918078</c:v>
                </c:pt>
                <c:pt idx="3">
                  <c:v>1052389</c:v>
                </c:pt>
                <c:pt idx="4">
                  <c:v>1144727</c:v>
                </c:pt>
                <c:pt idx="5">
                  <c:v>1610701</c:v>
                </c:pt>
                <c:pt idx="6">
                  <c:v>1264374</c:v>
                </c:pt>
                <c:pt idx="7">
                  <c:v>1486400</c:v>
                </c:pt>
                <c:pt idx="8">
                  <c:v>1417403</c:v>
                </c:pt>
                <c:pt idx="9">
                  <c:v>1580144</c:v>
                </c:pt>
                <c:pt idx="10">
                  <c:v>1867357</c:v>
                </c:pt>
                <c:pt idx="11">
                  <c:v>1873201</c:v>
                </c:pt>
              </c:numCache>
            </c:numRef>
          </c:val>
          <c:extLst>
            <c:ext xmlns:c16="http://schemas.microsoft.com/office/drawing/2014/chart" uri="{C3380CC4-5D6E-409C-BE32-E72D297353CC}">
              <c16:uniqueId val="{000000E6-CA2A-451D-8E72-4939FB2B701E}"/>
            </c:ext>
          </c:extLst>
        </c:ser>
        <c:dLbls>
          <c:showLegendKey val="0"/>
          <c:showVal val="0"/>
          <c:showCatName val="0"/>
          <c:showSerName val="0"/>
          <c:showPercent val="0"/>
          <c:showBubbleSize val="0"/>
        </c:dLbls>
        <c:gapWidth val="100"/>
        <c:axId val="724361216"/>
        <c:axId val="724350176"/>
      </c:barChart>
      <c:lineChart>
        <c:grouping val="standard"/>
        <c:varyColors val="0"/>
        <c:ser>
          <c:idx val="0"/>
          <c:order val="0"/>
          <c:tx>
            <c:strRef>
              <c:f>'PvtSalesMonth&amp;Cat'!$B$23:$B$24</c:f>
              <c:strCache>
                <c:ptCount val="1"/>
                <c:pt idx="0">
                  <c:v>Accessories</c:v>
                </c:pt>
              </c:strCache>
            </c:strRef>
          </c:tx>
          <c:spPr>
            <a:ln w="28575" cap="rnd">
              <a:solidFill>
                <a:schemeClr val="accent1"/>
              </a:solidFill>
              <a:round/>
            </a:ln>
            <a:effectLst/>
          </c:spPr>
          <c:marker>
            <c:symbol val="none"/>
          </c:marker>
          <c:cat>
            <c:strRef>
              <c:f>'PvtSalesMonth&amp;Cat'!$A$25:$A$37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'PvtSalesMonth&amp;Cat'!$B$25:$B$37</c:f>
              <c:numCache>
                <c:formatCode>_-* #,##0.00\ "€"_-;\-* #,##0.00\ "€"_-;_-* "-"??\ "€"_-;_-@_-</c:formatCode>
                <c:ptCount val="12"/>
                <c:pt idx="0">
                  <c:v>14811</c:v>
                </c:pt>
                <c:pt idx="1">
                  <c:v>52759</c:v>
                </c:pt>
                <c:pt idx="2">
                  <c:v>54908</c:v>
                </c:pt>
                <c:pt idx="3">
                  <c:v>54740</c:v>
                </c:pt>
                <c:pt idx="4">
                  <c:v>56046</c:v>
                </c:pt>
                <c:pt idx="5">
                  <c:v>69833</c:v>
                </c:pt>
                <c:pt idx="6">
                  <c:v>60494</c:v>
                </c:pt>
                <c:pt idx="7">
                  <c:v>63082</c:v>
                </c:pt>
                <c:pt idx="8">
                  <c:v>59743</c:v>
                </c:pt>
                <c:pt idx="9">
                  <c:v>62709</c:v>
                </c:pt>
                <c:pt idx="10">
                  <c:v>74855</c:v>
                </c:pt>
                <c:pt idx="11">
                  <c:v>67371</c:v>
                </c:pt>
              </c:numCache>
            </c:numRef>
          </c:val>
          <c:smooth val="0"/>
          <c:extLst>
            <c:ext xmlns:c16="http://schemas.microsoft.com/office/drawing/2014/chart" uri="{C3380CC4-5D6E-409C-BE32-E72D297353CC}">
              <c16:uniqueId val="{00000008-CA2A-451D-8E72-4939FB2B701E}"/>
            </c:ext>
          </c:extLst>
        </c:ser>
        <c:ser>
          <c:idx val="2"/>
          <c:order val="2"/>
          <c:tx>
            <c:strRef>
              <c:f>'PvtSalesMonth&amp;Cat'!$D$23:$D$24</c:f>
              <c:strCache>
                <c:ptCount val="1"/>
                <c:pt idx="0">
                  <c:v>Clothing</c:v>
                </c:pt>
              </c:strCache>
            </c:strRef>
          </c:tx>
          <c:spPr>
            <a:ln w="28575" cap="rnd">
              <a:solidFill>
                <a:schemeClr val="accent3"/>
              </a:solidFill>
              <a:round/>
            </a:ln>
            <a:effectLst/>
          </c:spPr>
          <c:marker>
            <c:symbol val="none"/>
          </c:marker>
          <c:cat>
            <c:strRef>
              <c:f>'PvtSalesMonth&amp;Cat'!$A$25:$A$37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'PvtSalesMonth&amp;Cat'!$D$25:$D$37</c:f>
              <c:numCache>
                <c:formatCode>_-* #,##0.00\ "€"_-;\-* #,##0.00\ "€"_-;_-* "-"??\ "€"_-;_-@_-</c:formatCode>
                <c:ptCount val="12"/>
                <c:pt idx="0">
                  <c:v>6823</c:v>
                </c:pt>
                <c:pt idx="1">
                  <c:v>23886</c:v>
                </c:pt>
                <c:pt idx="2">
                  <c:v>27238</c:v>
                </c:pt>
                <c:pt idx="3">
                  <c:v>25021</c:v>
                </c:pt>
                <c:pt idx="4">
                  <c:v>26007</c:v>
                </c:pt>
                <c:pt idx="5">
                  <c:v>33325</c:v>
                </c:pt>
                <c:pt idx="6">
                  <c:v>30478</c:v>
                </c:pt>
                <c:pt idx="7">
                  <c:v>28511</c:v>
                </c:pt>
                <c:pt idx="8">
                  <c:v>30961</c:v>
                </c:pt>
                <c:pt idx="9">
                  <c:v>32393</c:v>
                </c:pt>
                <c:pt idx="10">
                  <c:v>33653</c:v>
                </c:pt>
                <c:pt idx="11">
                  <c:v>38253</c:v>
                </c:pt>
              </c:numCache>
            </c:numRef>
          </c:val>
          <c:smooth val="0"/>
          <c:extLst>
            <c:ext xmlns:c16="http://schemas.microsoft.com/office/drawing/2014/chart" uri="{C3380CC4-5D6E-409C-BE32-E72D297353CC}">
              <c16:uniqueId val="{000000E7-CA2A-451D-8E72-4939FB2B701E}"/>
            </c:ext>
          </c:extLst>
        </c:ser>
        <c:dLbls>
          <c:showLegendKey val="0"/>
          <c:showVal val="0"/>
          <c:showCatName val="0"/>
          <c:showSerName val="0"/>
          <c:showPercent val="0"/>
          <c:showBubbleSize val="0"/>
        </c:dLbls>
        <c:marker val="1"/>
        <c:smooth val="0"/>
        <c:axId val="2120969024"/>
        <c:axId val="2120968544"/>
      </c:lineChart>
      <c:catAx>
        <c:axId val="72436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50176"/>
        <c:crosses val="autoZero"/>
        <c:auto val="1"/>
        <c:lblAlgn val="ctr"/>
        <c:lblOffset val="100"/>
        <c:noMultiLvlLbl val="0"/>
      </c:catAx>
      <c:valAx>
        <c:axId val="724350176"/>
        <c:scaling>
          <c:orientation val="minMax"/>
        </c:scaling>
        <c:delete val="0"/>
        <c:axPos val="l"/>
        <c:majorGridlines>
          <c:spPr>
            <a:ln w="9525" cap="flat" cmpd="sng" algn="ctr">
              <a:solidFill>
                <a:schemeClr val="tx1">
                  <a:lumMod val="15000"/>
                  <a:lumOff val="85000"/>
                </a:schemeClr>
              </a:solidFill>
              <a:round/>
            </a:ln>
            <a:effectLst/>
          </c:spPr>
        </c:majorGridlines>
        <c:numFmt formatCode="_-* #,##0.00\ &quot;€&quot;_-;\-* #,##0.00\ &quot;€&quot;_-;_-* &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61216"/>
        <c:crosses val="autoZero"/>
        <c:crossBetween val="between"/>
      </c:valAx>
      <c:valAx>
        <c:axId val="2120968544"/>
        <c:scaling>
          <c:orientation val="minMax"/>
        </c:scaling>
        <c:delete val="0"/>
        <c:axPos val="r"/>
        <c:numFmt formatCode="_-* #,##0.00\ &quot;€&quot;_-;\-* #,##0.00\ &quot;€&quot;_-;_-* &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969024"/>
        <c:crosses val="max"/>
        <c:crossBetween val="between"/>
      </c:valAx>
      <c:catAx>
        <c:axId val="2120969024"/>
        <c:scaling>
          <c:orientation val="minMax"/>
        </c:scaling>
        <c:delete val="1"/>
        <c:axPos val="b"/>
        <c:numFmt formatCode="General" sourceLinked="1"/>
        <c:majorTickMark val="out"/>
        <c:minorTickMark val="none"/>
        <c:tickLblPos val="nextTo"/>
        <c:crossAx val="21209685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[BusinessDash2.xlsx]PvtSubcategoryTargets!PivotTable1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PvtSubcategoryTargets!$B$3</c:f>
              <c:strCache>
                <c:ptCount val="1"/>
                <c:pt idx="0">
                  <c:v>Total</c:v>
                </c:pt>
              </c:strCache>
            </c:strRef>
          </c:tx>
          <c:spPr>
            <a:solidFill>
              <a:schemeClr val="accent1"/>
            </a:solidFill>
            <a:ln>
              <a:noFill/>
            </a:ln>
            <a:effectLst/>
          </c:spPr>
          <c:invertIfNegative val="0"/>
          <c:cat>
            <c:multiLvlStrRef>
              <c:f>PvtSubcategoryTargets!$A$4:$A$24</c:f>
              <c:multiLvlStrCache>
                <c:ptCount val="17"/>
                <c:lvl>
                  <c:pt idx="0">
                    <c:v>Bike Racks</c:v>
                  </c:pt>
                  <c:pt idx="1">
                    <c:v>Bike Stands</c:v>
                  </c:pt>
                  <c:pt idx="2">
                    <c:v>Bottles and Cages</c:v>
                  </c:pt>
                  <c:pt idx="3">
                    <c:v>Cleaners</c:v>
                  </c:pt>
                  <c:pt idx="4">
                    <c:v>Fenders</c:v>
                  </c:pt>
                  <c:pt idx="5">
                    <c:v>Helmets</c:v>
                  </c:pt>
                  <c:pt idx="6">
                    <c:v>Hydration Packs</c:v>
                  </c:pt>
                  <c:pt idx="7">
                    <c:v>Tires and Tubes</c:v>
                  </c:pt>
                  <c:pt idx="8">
                    <c:v>Mountain Bikes</c:v>
                  </c:pt>
                  <c:pt idx="9">
                    <c:v>Road Bikes</c:v>
                  </c:pt>
                  <c:pt idx="10">
                    <c:v>Touring Bikes</c:v>
                  </c:pt>
                  <c:pt idx="11">
                    <c:v>Caps</c:v>
                  </c:pt>
                  <c:pt idx="12">
                    <c:v>Gloves</c:v>
                  </c:pt>
                  <c:pt idx="13">
                    <c:v>Jerseys</c:v>
                  </c:pt>
                  <c:pt idx="14">
                    <c:v>Shorts</c:v>
                  </c:pt>
                  <c:pt idx="15">
                    <c:v>Socks</c:v>
                  </c:pt>
                  <c:pt idx="16">
                    <c:v>Vests</c:v>
                  </c:pt>
                </c:lvl>
                <c:lvl>
                  <c:pt idx="0">
                    <c:v>Accessories</c:v>
                  </c:pt>
                  <c:pt idx="8">
                    <c:v>Bikes</c:v>
                  </c:pt>
                  <c:pt idx="11">
                    <c:v>Clothing</c:v>
                  </c:pt>
                </c:lvl>
              </c:multiLvlStrCache>
            </c:multiLvlStrRef>
          </c:cat>
          <c:val>
            <c:numRef>
              <c:f>PvtSubcategoryTargets!$B$4:$B$24</c:f>
              <c:numCache>
                <c:formatCode>_([$€-2]\ * #,##0.00_);_([$€-2]\ * \(#,##0.00\);_([$€-2]\ * "-"??_);_(@_)</c:formatCode>
                <c:ptCount val="17"/>
                <c:pt idx="0">
                  <c:v>37329</c:v>
                </c:pt>
                <c:pt idx="1">
                  <c:v>39225</c:v>
                </c:pt>
                <c:pt idx="2">
                  <c:v>57837</c:v>
                </c:pt>
                <c:pt idx="3">
                  <c:v>6933</c:v>
                </c:pt>
                <c:pt idx="4">
                  <c:v>44138</c:v>
                </c:pt>
                <c:pt idx="5">
                  <c:v>222373</c:v>
                </c:pt>
                <c:pt idx="6">
                  <c:v>40271</c:v>
                </c:pt>
                <c:pt idx="7">
                  <c:v>243245</c:v>
                </c:pt>
                <c:pt idx="8">
                  <c:v>6533896</c:v>
                </c:pt>
                <c:pt idx="9">
                  <c:v>5257429</c:v>
                </c:pt>
                <c:pt idx="10">
                  <c:v>4055497</c:v>
                </c:pt>
                <c:pt idx="11">
                  <c:v>20839</c:v>
                </c:pt>
                <c:pt idx="12">
                  <c:v>34433</c:v>
                </c:pt>
                <c:pt idx="13">
                  <c:v>171406</c:v>
                </c:pt>
                <c:pt idx="14">
                  <c:v>68921</c:v>
                </c:pt>
                <c:pt idx="15">
                  <c:v>5917</c:v>
                </c:pt>
                <c:pt idx="16">
                  <c:v>35033</c:v>
                </c:pt>
              </c:numCache>
            </c:numRef>
          </c:val>
          <c:extLst>
            <c:ext xmlns:c16="http://schemas.microsoft.com/office/drawing/2014/chart" uri="{C3380CC4-5D6E-409C-BE32-E72D297353CC}">
              <c16:uniqueId val="{00000000-611B-4C99-85DD-7F2103E88791}"/>
            </c:ext>
          </c:extLst>
        </c:ser>
        <c:dLbls>
          <c:showLegendKey val="0"/>
          <c:showVal val="0"/>
          <c:showCatName val="0"/>
          <c:showSerName val="0"/>
          <c:showPercent val="0"/>
          <c:showBubbleSize val="0"/>
        </c:dLbls>
        <c:gapWidth val="182"/>
        <c:axId val="1822735919"/>
        <c:axId val="1822736399"/>
      </c:barChart>
      <c:catAx>
        <c:axId val="182273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736399"/>
        <c:crosses val="autoZero"/>
        <c:auto val="1"/>
        <c:lblAlgn val="ctr"/>
        <c:lblOffset val="100"/>
        <c:noMultiLvlLbl val="0"/>
      </c:catAx>
      <c:valAx>
        <c:axId val="1822736399"/>
        <c:scaling>
          <c:orientation val="minMax"/>
        </c:scaling>
        <c:delete val="0"/>
        <c:axPos val="b"/>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73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[BusinessDash2.xlsx]PvtSubcategoryTargets!PivotTable4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PvtSubcategoryTargets!$B$59</c:f>
              <c:strCache>
                <c:ptCount val="1"/>
                <c:pt idx="0">
                  <c:v>Total</c:v>
                </c:pt>
              </c:strCache>
            </c:strRef>
          </c:tx>
          <c:spPr>
            <a:solidFill>
              <a:schemeClr val="accent1"/>
            </a:solidFill>
            <a:ln>
              <a:noFill/>
            </a:ln>
            <a:effectLst/>
          </c:spPr>
          <c:invertIfNegative val="0"/>
          <c:cat>
            <c:strRef>
              <c:f>PvtSubcategoryTargets!$A$60:$A$77</c:f>
              <c:strCache>
                <c:ptCount val="17"/>
                <c:pt idx="0">
                  <c:v>Bike Racks</c:v>
                </c:pt>
                <c:pt idx="1">
                  <c:v>Bike Stands</c:v>
                </c:pt>
                <c:pt idx="2">
                  <c:v>Bottles and Cages</c:v>
                </c:pt>
                <c:pt idx="3">
                  <c:v>Caps</c:v>
                </c:pt>
                <c:pt idx="4">
                  <c:v>Cleaners</c:v>
                </c:pt>
                <c:pt idx="5">
                  <c:v>Fenders</c:v>
                </c:pt>
                <c:pt idx="6">
                  <c:v>Gloves</c:v>
                </c:pt>
                <c:pt idx="7">
                  <c:v>Helmets</c:v>
                </c:pt>
                <c:pt idx="8">
                  <c:v>Hydration Packs</c:v>
                </c:pt>
                <c:pt idx="9">
                  <c:v>Jerseys</c:v>
                </c:pt>
                <c:pt idx="10">
                  <c:v>Mountain Bikes</c:v>
                </c:pt>
                <c:pt idx="11">
                  <c:v>Road Bikes</c:v>
                </c:pt>
                <c:pt idx="12">
                  <c:v>Shorts</c:v>
                </c:pt>
                <c:pt idx="13">
                  <c:v>Socks</c:v>
                </c:pt>
                <c:pt idx="14">
                  <c:v>Tires and Tubes</c:v>
                </c:pt>
                <c:pt idx="15">
                  <c:v>Touring Bikes</c:v>
                </c:pt>
                <c:pt idx="16">
                  <c:v>Vests</c:v>
                </c:pt>
              </c:strCache>
            </c:strRef>
          </c:cat>
          <c:val>
            <c:numRef>
              <c:f>PvtSubcategoryTargets!$B$60:$B$77</c:f>
              <c:numCache>
                <c:formatCode>General</c:formatCode>
                <c:ptCount val="17"/>
                <c:pt idx="0">
                  <c:v>0.91492647058823529</c:v>
                </c:pt>
                <c:pt idx="1">
                  <c:v>1.2106481481481484</c:v>
                </c:pt>
                <c:pt idx="2">
                  <c:v>0.86066964285714231</c:v>
                </c:pt>
                <c:pt idx="3">
                  <c:v>1.0853645833333334</c:v>
                </c:pt>
                <c:pt idx="4">
                  <c:v>1.1555</c:v>
                </c:pt>
                <c:pt idx="5">
                  <c:v>1.0217129629629622</c:v>
                </c:pt>
                <c:pt idx="6">
                  <c:v>1.1955902777777767</c:v>
                </c:pt>
                <c:pt idx="7">
                  <c:v>1.2191502192982453</c:v>
                </c:pt>
                <c:pt idx="8">
                  <c:v>0.88313596491228052</c:v>
                </c:pt>
                <c:pt idx="9">
                  <c:v>0.95225555555555574</c:v>
                </c:pt>
                <c:pt idx="10">
                  <c:v>1.0752198525539767</c:v>
                </c:pt>
                <c:pt idx="11">
                  <c:v>1.1627364207360233</c:v>
                </c:pt>
                <c:pt idx="12">
                  <c:v>0.89740885416666671</c:v>
                </c:pt>
                <c:pt idx="13">
                  <c:v>1.2327083333333335</c:v>
                </c:pt>
                <c:pt idx="14">
                  <c:v>0.91721342383107052</c:v>
                </c:pt>
                <c:pt idx="15">
                  <c:v>0.90074116027007722</c:v>
                </c:pt>
                <c:pt idx="16">
                  <c:v>1.0066954022988512</c:v>
                </c:pt>
              </c:numCache>
            </c:numRef>
          </c:val>
          <c:extLst>
            <c:ext xmlns:c16="http://schemas.microsoft.com/office/drawing/2014/chart" uri="{C3380CC4-5D6E-409C-BE32-E72D297353CC}">
              <c16:uniqueId val="{00000002-31BD-41EE-AA53-D743AD2784E8}"/>
            </c:ext>
          </c:extLst>
        </c:ser>
        <c:dLbls>
          <c:showLegendKey val="0"/>
          <c:showVal val="0"/>
          <c:showCatName val="0"/>
          <c:showSerName val="0"/>
          <c:showPercent val="0"/>
          <c:showBubbleSize val="0"/>
        </c:dLbls>
        <c:gapWidth val="182"/>
        <c:axId val="1874390575"/>
        <c:axId val="1874394415"/>
      </c:barChart>
      <c:catAx>
        <c:axId val="187439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94415"/>
        <c:crosses val="autoZero"/>
        <c:auto val="1"/>
        <c:lblAlgn val="ctr"/>
        <c:lblOffset val="100"/>
        <c:noMultiLvlLbl val="0"/>
      </c:catAx>
      <c:valAx>
        <c:axId val="1874394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9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[BusinessDash2.xlsx]PvtTopSubC!PivotTable5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PvtTopSubC!$B$3</c:f>
              <c:strCache>
                <c:ptCount val="1"/>
                <c:pt idx="0">
                  <c:v>Total</c:v>
                </c:pt>
              </c:strCache>
            </c:strRef>
          </c:tx>
          <c:spPr>
            <a:solidFill>
              <a:schemeClr val="accent1"/>
            </a:solidFill>
            <a:ln>
              <a:noFill/>
            </a:ln>
            <a:effectLst/>
          </c:spPr>
          <c:invertIfNegative val="0"/>
          <c:cat>
            <c:strRef>
              <c:f>PvtTopSubC!$A$4:$A$9</c:f>
              <c:strCache>
                <c:ptCount val="5"/>
                <c:pt idx="0">
                  <c:v>Mountain Bikes</c:v>
                </c:pt>
                <c:pt idx="1">
                  <c:v>Road Bikes</c:v>
                </c:pt>
                <c:pt idx="2">
                  <c:v>Touring Bikes</c:v>
                </c:pt>
                <c:pt idx="3">
                  <c:v>Tires and Tubes</c:v>
                </c:pt>
                <c:pt idx="4">
                  <c:v>Helmets</c:v>
                </c:pt>
              </c:strCache>
            </c:strRef>
          </c:cat>
          <c:val>
            <c:numRef>
              <c:f>PvtTopSubC!$B$4:$B$9</c:f>
              <c:numCache>
                <c:formatCode>_-* #,##0.00\ "€"_-;\-* #,##0.00\ "€"_-;_-* "-"??\ "€"_-;_-@_-</c:formatCode>
                <c:ptCount val="5"/>
                <c:pt idx="0">
                  <c:v>6533896</c:v>
                </c:pt>
                <c:pt idx="1">
                  <c:v>5257429</c:v>
                </c:pt>
                <c:pt idx="2">
                  <c:v>4055497</c:v>
                </c:pt>
                <c:pt idx="3">
                  <c:v>243245</c:v>
                </c:pt>
                <c:pt idx="4">
                  <c:v>222373</c:v>
                </c:pt>
              </c:numCache>
            </c:numRef>
          </c:val>
          <c:extLst>
            <c:ext xmlns:c16="http://schemas.microsoft.com/office/drawing/2014/chart" uri="{C3380CC4-5D6E-409C-BE32-E72D297353CC}">
              <c16:uniqueId val="{00000000-84C0-4470-8951-69EF866AFC6B}"/>
            </c:ext>
          </c:extLst>
        </c:ser>
        <c:dLbls>
          <c:showLegendKey val="0"/>
          <c:showVal val="0"/>
          <c:showCatName val="0"/>
          <c:showSerName val="0"/>
          <c:showPercent val="0"/>
          <c:showBubbleSize val="0"/>
        </c:dLbls>
        <c:gapWidth val="182"/>
        <c:axId val="2111525935"/>
        <c:axId val="2111513935"/>
      </c:barChart>
      <c:catAx>
        <c:axId val="2111525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13935"/>
        <c:crosses val="autoZero"/>
        <c:auto val="1"/>
        <c:lblAlgn val="ctr"/>
        <c:lblOffset val="100"/>
        <c:noMultiLvlLbl val="0"/>
      </c:catAx>
      <c:valAx>
        <c:axId val="2111513935"/>
        <c:scaling>
          <c:orientation val="minMax"/>
        </c:scaling>
        <c:delete val="0"/>
        <c:axPos val="b"/>
        <c:majorGridlines>
          <c:spPr>
            <a:ln w="9525" cap="flat" cmpd="sng" algn="ctr">
              <a:solidFill>
                <a:schemeClr val="tx1">
                  <a:lumMod val="15000"/>
                  <a:lumOff val="85000"/>
                </a:schemeClr>
              </a:solidFill>
              <a:round/>
            </a:ln>
            <a:effectLst/>
          </c:spPr>
        </c:majorGridlines>
        <c:numFmt formatCode="_-* #,##0.00\ &quot;€&quot;_-;\-* #,##0.0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2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Category and subcategory sells</cx:v>
        </cx:txData>
      </cx:tx>
      <cx:txPr>
        <a:bodyPr spcFirstLastPara="1" vertOverflow="ellipsis" horzOverflow="overflow" wrap="square" lIns="0" tIns="0" rIns="0" bIns="0" anchor="ctr" anchorCtr="1"/>
        <a:lstStyle/>
        <a:p>
          <a:pPr algn="ctr" rtl="0">
            <a:defRPr/>
          </a:pPr>
          <a:r>
            <a:rPr lang="en-US" sz="1400" b="1" i="0" u="none" strike="noStrike" kern="1200" spc="0" baseline="0">
              <a:solidFill>
                <a:sysClr val="windowText" lastClr="000000">
                  <a:lumMod val="65000"/>
                  <a:lumOff val="35000"/>
                </a:sysClr>
              </a:solidFill>
              <a:latin typeface="+mn-lt"/>
              <a:ea typeface="+mn-ea"/>
              <a:cs typeface="+mn-cs"/>
            </a:rPr>
            <a:t>Category and subcategory sells</a:t>
          </a:r>
        </a:p>
      </cx:txPr>
    </cx:title>
    <cx:plotArea>
      <cx:plotAreaRegion>
        <cx:series layoutId="treemap" uniqueId="{BFD78686-8BBD-4478-ACA0-EF6E097D6DE3}">
          <cx:tx>
            <cx:txData>
              <cx:f>_xlchart.v1.1</cx:f>
              <cx:v>  € 37,329.00  </cx:v>
            </cx:txData>
          </cx:tx>
          <cx:dataLabels>
            <cx:visibility seriesName="1" categoryName="1" value="0"/>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BFD78686-8BBD-4478-ACA0-EF6E097D6DE3}">
          <cx:tx>
            <cx:txData>
              <cx:f>_xlchart.v1.4</cx:f>
              <cx:v>  € 37,329.00  </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510138</xdr:colOff>
      <xdr:row>6</xdr:row>
      <xdr:rowOff>162560</xdr:rowOff>
    </xdr:from>
    <xdr:to>
      <xdr:col>14</xdr:col>
      <xdr:colOff>52938</xdr:colOff>
      <xdr:row>24</xdr:row>
      <xdr:rowOff>105410</xdr:rowOff>
    </xdr:to>
    <xdr:graphicFrame macro="">
      <xdr:nvGraphicFramePr>
        <xdr:cNvPr id="14" name="Chart 13">
          <a:extLst>
            <a:ext uri="{FF2B5EF4-FFF2-40B4-BE49-F238E27FC236}">
              <a16:creationId xmlns:a16="http://schemas.microsoft.com/office/drawing/2014/main" id="{45F75078-066D-0956-282C-BD254489D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492384</xdr:colOff>
      <xdr:row>6</xdr:row>
      <xdr:rowOff>162560</xdr:rowOff>
    </xdr:from>
    <xdr:to>
      <xdr:col>14</xdr:col>
      <xdr:colOff>52938</xdr:colOff>
      <xdr:row>10</xdr:row>
      <xdr:rowOff>77951</xdr:rowOff>
    </xdr:to>
    <xdr:sp macro="" textlink="$AE$34">
      <xdr:nvSpPr>
        <xdr:cNvPr id="4" name="Rectangle 3">
          <a:extLst>
            <a:ext uri="{FF2B5EF4-FFF2-40B4-BE49-F238E27FC236}">
              <a16:creationId xmlns:a16="http://schemas.microsoft.com/office/drawing/2014/main" id="{EEF451B6-41D6-F4C8-48B0-D49B2931A264}"/>
            </a:ext>
          </a:extLst>
        </xdr:cNvPr>
        <xdr:cNvSpPr/>
      </xdr:nvSpPr>
      <xdr:spPr>
        <a:xfrm>
          <a:off x="6918584" y="1356360"/>
          <a:ext cx="1389354" cy="660458"/>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559BEA-DF29-4841-8D2E-69CE9B5CEDB0}" type="TxLink">
            <a:rPr lang="en-US" sz="1000" b="1" i="0" u="none" strike="noStrike">
              <a:solidFill>
                <a:srgbClr val="632523"/>
              </a:solidFill>
              <a:latin typeface="Calibri"/>
              <a:ea typeface="Calibri"/>
              <a:cs typeface="Calibri"/>
            </a:rPr>
            <a:pPr algn="ctr"/>
            <a:t>The month with highest sales volume is December</a:t>
          </a:fld>
          <a:endParaRPr lang="en-US" sz="1000"/>
        </a:p>
      </xdr:txBody>
    </xdr:sp>
    <xdr:clientData/>
  </xdr:twoCellAnchor>
  <xdr:twoCellAnchor editAs="oneCell">
    <xdr:from>
      <xdr:col>0</xdr:col>
      <xdr:colOff>299139</xdr:colOff>
      <xdr:row>16</xdr:row>
      <xdr:rowOff>131206</xdr:rowOff>
    </xdr:from>
    <xdr:to>
      <xdr:col>5</xdr:col>
      <xdr:colOff>56889</xdr:colOff>
      <xdr:row>23</xdr:row>
      <xdr:rowOff>86360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3FCB2137-53F3-4690-ACB6-0673EC8A2B9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9139" y="3103006"/>
              <a:ext cx="2522721" cy="1250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525236</xdr:colOff>
      <xdr:row>25</xdr:row>
      <xdr:rowOff>144236</xdr:rowOff>
    </xdr:from>
    <xdr:to>
      <xdr:col>23</xdr:col>
      <xdr:colOff>68036</xdr:colOff>
      <xdr:row>43</xdr:row>
      <xdr:rowOff>87086</xdr:rowOff>
    </xdr:to>
    <xdr:graphicFrame macro="">
      <xdr:nvGraphicFramePr>
        <xdr:cNvPr id="12" name="Chart 11">
          <a:extLst>
            <a:ext uri="{FF2B5EF4-FFF2-40B4-BE49-F238E27FC236}">
              <a16:creationId xmlns:a16="http://schemas.microsoft.com/office/drawing/2014/main" id="{C4AA33A0-F63C-45C0-8F69-B72B8EE21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280089</xdr:colOff>
      <xdr:row>6</xdr:row>
      <xdr:rowOff>162560</xdr:rowOff>
    </xdr:from>
    <xdr:to>
      <xdr:col>5</xdr:col>
      <xdr:colOff>37839</xdr:colOff>
      <xdr:row>14</xdr:row>
      <xdr:rowOff>154759</xdr:rowOff>
    </xdr:to>
    <mc:AlternateContent xmlns:mc="http://schemas.openxmlformats.org/markup-compatibility/2006" xmlns:a14="http://schemas.microsoft.com/office/drawing/2010/main">
      <mc:Choice Requires="a14">
        <xdr:graphicFrame macro="">
          <xdr:nvGraphicFramePr>
            <xdr:cNvPr id="13" name="Month 2">
              <a:extLst>
                <a:ext uri="{FF2B5EF4-FFF2-40B4-BE49-F238E27FC236}">
                  <a16:creationId xmlns:a16="http://schemas.microsoft.com/office/drawing/2014/main" id="{C4D7982F-4BDA-B0CE-499A-C81D43248758}"/>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80089" y="1283789"/>
              <a:ext cx="2522721" cy="1472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250262</xdr:colOff>
      <xdr:row>25</xdr:row>
      <xdr:rowOff>144236</xdr:rowOff>
    </xdr:from>
    <xdr:to>
      <xdr:col>17</xdr:col>
      <xdr:colOff>402662</xdr:colOff>
      <xdr:row>43</xdr:row>
      <xdr:rowOff>87086</xdr:rowOff>
    </xdr:to>
    <xdr:graphicFrame macro="">
      <xdr:nvGraphicFramePr>
        <xdr:cNvPr id="15" name="Chart 14">
          <a:extLst>
            <a:ext uri="{FF2B5EF4-FFF2-40B4-BE49-F238E27FC236}">
              <a16:creationId xmlns:a16="http://schemas.microsoft.com/office/drawing/2014/main" id="{4F5438C7-2672-9436-398D-6D11CD94E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448549</xdr:colOff>
      <xdr:row>25</xdr:row>
      <xdr:rowOff>144236</xdr:rowOff>
    </xdr:from>
    <xdr:to>
      <xdr:col>17</xdr:col>
      <xdr:colOff>402662</xdr:colOff>
      <xdr:row>29</xdr:row>
      <xdr:rowOff>98786</xdr:rowOff>
    </xdr:to>
    <xdr:sp macro="" textlink="$AE$36">
      <xdr:nvSpPr>
        <xdr:cNvPr id="3" name="Rectangle 2">
          <a:extLst>
            <a:ext uri="{FF2B5EF4-FFF2-40B4-BE49-F238E27FC236}">
              <a16:creationId xmlns:a16="http://schemas.microsoft.com/office/drawing/2014/main" id="{6FB337A7-6B3F-1AA0-4E3E-88A27ED7399E}"/>
            </a:ext>
          </a:extLst>
        </xdr:cNvPr>
        <xdr:cNvSpPr/>
      </xdr:nvSpPr>
      <xdr:spPr>
        <a:xfrm>
          <a:off x="9318229" y="4731476"/>
          <a:ext cx="1173313" cy="68607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A43E97-121A-4E4A-B738-B19A6686CD80}" type="TxLink">
            <a:rPr lang="en-US" sz="1000" b="1" i="0" u="none" strike="noStrike">
              <a:solidFill>
                <a:srgbClr val="632523"/>
              </a:solidFill>
              <a:latin typeface="Calibri"/>
              <a:ea typeface="Calibri"/>
              <a:cs typeface="Calibri"/>
            </a:rPr>
            <a:pPr algn="ctr"/>
            <a:t>The month with highest target achieved is July</a:t>
          </a:fld>
          <a:endParaRPr lang="en-US" sz="1000" b="1">
            <a:solidFill>
              <a:schemeClr val="accent2">
                <a:lumMod val="50000"/>
              </a:schemeClr>
            </a:solidFill>
          </a:endParaRPr>
        </a:p>
      </xdr:txBody>
    </xdr:sp>
    <xdr:clientData/>
  </xdr:twoCellAnchor>
  <xdr:twoCellAnchor>
    <xdr:from>
      <xdr:col>0</xdr:col>
      <xdr:colOff>299139</xdr:colOff>
      <xdr:row>25</xdr:row>
      <xdr:rowOff>144236</xdr:rowOff>
    </xdr:from>
    <xdr:to>
      <xdr:col>9</xdr:col>
      <xdr:colOff>127689</xdr:colOff>
      <xdr:row>43</xdr:row>
      <xdr:rowOff>87086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C156856-63F8-46C6-A551-0BAF50963D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9139" y="4731476"/>
              <a:ext cx="5033010" cy="32346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525236</xdr:colOff>
      <xdr:row>6</xdr:row>
      <xdr:rowOff>162560</xdr:rowOff>
    </xdr:from>
    <xdr:to>
      <xdr:col>23</xdr:col>
      <xdr:colOff>68036</xdr:colOff>
      <xdr:row>24</xdr:row>
      <xdr:rowOff>105410</xdr:rowOff>
    </xdr:to>
    <xdr:graphicFrame macro="">
      <xdr:nvGraphicFramePr>
        <xdr:cNvPr id="8" name="Chart 7">
          <a:extLst>
            <a:ext uri="{FF2B5EF4-FFF2-40B4-BE49-F238E27FC236}">
              <a16:creationId xmlns:a16="http://schemas.microsoft.com/office/drawing/2014/main" id="{969983E4-BAEF-4779-B3EE-30A0C7A48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563880</xdr:colOff>
      <xdr:row>3</xdr:row>
      <xdr:rowOff>156210</xdr:rowOff>
    </xdr:from>
    <xdr:to>
      <xdr:col>10</xdr:col>
      <xdr:colOff>259080</xdr:colOff>
      <xdr:row>18</xdr:row>
      <xdr:rowOff>156210</xdr:rowOff>
    </xdr:to>
    <xdr:graphicFrame macro="">
      <xdr:nvGraphicFramePr>
        <xdr:cNvPr id="2" name="Chart 1">
          <a:extLst>
            <a:ext uri="{FF2B5EF4-FFF2-40B4-BE49-F238E27FC236}">
              <a16:creationId xmlns:a16="http://schemas.microsoft.com/office/drawing/2014/main" id="{DE9BA599-2B06-9325-E6E9-CBC9E9C73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858128</xdr:colOff>
      <xdr:row>21</xdr:row>
      <xdr:rowOff>2</xdr:rowOff>
    </xdr:from>
    <xdr:to>
      <xdr:col>12</xdr:col>
      <xdr:colOff>1113691</xdr:colOff>
      <xdr:row>49</xdr:row>
      <xdr:rowOff>24033</xdr:rowOff>
    </xdr:to>
    <xdr:graphicFrame macro="">
      <xdr:nvGraphicFramePr>
        <xdr:cNvPr id="3" name="Chart 2">
          <a:extLst>
            <a:ext uri="{FF2B5EF4-FFF2-40B4-BE49-F238E27FC236}">
              <a16:creationId xmlns:a16="http://schemas.microsoft.com/office/drawing/2014/main" id="{F0565A02-3C67-C8E0-5CDB-5FD2C8159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594360</xdr:colOff>
      <xdr:row>3</xdr:row>
      <xdr:rowOff>167640</xdr:rowOff>
    </xdr:from>
    <xdr:to>
      <xdr:col>12</xdr:col>
      <xdr:colOff>10551</xdr:colOff>
      <xdr:row>17</xdr:row>
      <xdr:rowOff>74295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5722C7C8-F81C-D050-A2EF-548199FC104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32320" y="716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982980</xdr:colOff>
      <xdr:row>1</xdr:row>
      <xdr:rowOff>144780</xdr:rowOff>
    </xdr:from>
    <xdr:to>
      <xdr:col>15</xdr:col>
      <xdr:colOff>205740</xdr:colOff>
      <xdr:row>23</xdr:row>
      <xdr:rowOff>137160</xdr:rowOff>
    </xdr:to>
    <xdr:graphicFrame macro="">
      <xdr:nvGraphicFramePr>
        <xdr:cNvPr id="2" name="Chart 1">
          <a:extLst>
            <a:ext uri="{FF2B5EF4-FFF2-40B4-BE49-F238E27FC236}">
              <a16:creationId xmlns:a16="http://schemas.microsoft.com/office/drawing/2014/main" id="{1C46575E-7AE2-F47E-9FF6-DEA69860B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960120</xdr:colOff>
      <xdr:row>58</xdr:row>
      <xdr:rowOff>15240</xdr:rowOff>
    </xdr:from>
    <xdr:to>
      <xdr:col>13</xdr:col>
      <xdr:colOff>266700</xdr:colOff>
      <xdr:row>77</xdr:row>
      <xdr:rowOff>60960</xdr:rowOff>
    </xdr:to>
    <xdr:graphicFrame macro="">
      <xdr:nvGraphicFramePr>
        <xdr:cNvPr id="3" name="Chart 2">
          <a:extLst>
            <a:ext uri="{FF2B5EF4-FFF2-40B4-BE49-F238E27FC236}">
              <a16:creationId xmlns:a16="http://schemas.microsoft.com/office/drawing/2014/main" id="{44726624-2F23-F68B-5004-B6E074191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99060</xdr:colOff>
      <xdr:row>5</xdr:row>
      <xdr:rowOff>160020</xdr:rowOff>
    </xdr:from>
    <xdr:to>
      <xdr:col>20</xdr:col>
      <xdr:colOff>30480</xdr:colOff>
      <xdr:row>19</xdr:row>
      <xdr:rowOff>66675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20320FA-B897-7989-E86D-57DBDA72C9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28220" y="1074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1478280</xdr:colOff>
      <xdr:row>45</xdr:row>
      <xdr:rowOff>30480</xdr:rowOff>
    </xdr:from>
    <xdr:to>
      <xdr:col>9</xdr:col>
      <xdr:colOff>373380</xdr:colOff>
      <xdr:row>60</xdr:row>
      <xdr:rowOff>30480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E558ED5-E971-0BF2-79F4-946D35E68F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358640" y="82600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xdr:colOff>
      <xdr:row>1</xdr:row>
      <xdr:rowOff>152400</xdr:rowOff>
    </xdr:from>
    <xdr:to>
      <xdr:col>17</xdr:col>
      <xdr:colOff>114300</xdr:colOff>
      <xdr:row>16</xdr:row>
      <xdr:rowOff>152400</xdr:rowOff>
    </xdr:to>
    <xdr:graphicFrame macro="">
      <xdr:nvGraphicFramePr>
        <xdr:cNvPr id="4" name="Chart 3">
          <a:extLst>
            <a:ext uri="{FF2B5EF4-FFF2-40B4-BE49-F238E27FC236}">
              <a16:creationId xmlns:a16="http://schemas.microsoft.com/office/drawing/2014/main" id="{5DDAADE0-C987-C65B-A950-E6CDA45B9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i" refreshedDate="46154.621690972221" createdVersion="8" refreshedVersion="8" minRefreshableVersion="3" recordCount="204" xr:uid="{B1857F7D-09E5-4A2A-8789-C8A94EB467AB}">
  <cacheSource type="worksheet">
    <worksheetSource name="Sales_Summary"/>
  </cacheSource>
  <cacheFields count="9">
    <cacheField name="Category" numFmtId="0">
      <sharedItems count="6">
        <s v="Accessories"/>
        <s v="Bikes"/>
        <s v="Clothing"/>
        <s v="SubTotal Accessories" u="1"/>
        <s v="SubTotal Bikes" u="1"/>
        <s v="SubTotal Clothing" u="1"/>
      </sharedItems>
    </cacheField>
    <cacheField name="Subcategory" numFmtId="0">
      <sharedItems count="17">
        <s v="Bike Racks"/>
        <s v="Bike Stands"/>
        <s v="Bottles and Cages"/>
        <s v="Cleaners"/>
        <s v="Fenders"/>
        <s v="Helmets"/>
        <s v="Hydration Packs"/>
        <s v="Tires and Tubes"/>
        <s v="Mountain Bikes"/>
        <s v="Road Bikes"/>
        <s v="Touring Bikes"/>
        <s v="Caps"/>
        <s v="Gloves"/>
        <s v="Jerseys"/>
        <s v="Shorts"/>
        <s v="Socks"/>
        <s v="Vests"/>
      </sharedItems>
    </cacheField>
    <cacheField name="ProductKey" numFmtId="0">
      <sharedItems containsSemiMixedTypes="0" containsString="0" containsNumber="1" containsInteger="1" minValue="212" maxValue="560"/>
    </cacheField>
    <cacheField name="Monthly Target" numFmtId="0">
      <sharedItems containsSemiMixedTypes="0" containsString="0" containsNumber="1" containsInteger="1" minValue="400" maxValue="506400"/>
    </cacheField>
    <cacheField name="Attribute" numFmtId="0">
      <sharedItems/>
    </cacheField>
    <cacheField name="Month number" numFmtId="0">
      <sharedItems containsSemiMixedTypes="0" containsString="0" containsNumber="1" containsInteger="1" minValue="1" maxValue="12"/>
    </cacheField>
    <cacheField name="Month" numFmtId="169">
      <sharedItems count="24">
        <s v="January"/>
        <s v="February"/>
        <s v="March"/>
        <s v="April"/>
        <s v="May"/>
        <s v="June"/>
        <s v="July"/>
        <s v="August"/>
        <s v="September"/>
        <s v="October"/>
        <s v="November"/>
        <s v="December"/>
        <s v="gennaio" u="1"/>
        <s v="febbraio" u="1"/>
        <s v="marzo" u="1"/>
        <s v="aprile" u="1"/>
        <s v="maggio" u="1"/>
        <s v="giugno" u="1"/>
        <s v="luglio" u="1"/>
        <s v="agosto" u="1"/>
        <s v="settembre" u="1"/>
        <s v="ottobre" u="1"/>
        <s v="novembre" u="1"/>
        <s v="dicembre" u="1"/>
      </sharedItems>
    </cacheField>
    <cacheField name="Sales" numFmtId="166">
      <sharedItems containsSemiMixedTypes="0" containsString="0" containsNumber="1" containsInteger="1" minValue="63" maxValue="802792"/>
    </cacheField>
    <cacheField name="% Target Achieved" numFmtId="9">
      <sharedItems containsSemiMixedTypes="0" containsString="0" containsNumber="1" minValue="7.1874999999999994E-2" maxValue="2.1949999999999998"/>
    </cacheField>
  </cacheFields>
  <extLst>
    <ext xmlns:x14="http://schemas.microsoft.com/office/spreadsheetml/2009/9/main" uri="{725AE2AE-9491-48be-B2B4-4EB974FC3084}">
      <x14:pivotCacheDefinition pivotCacheId="2086981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x v="0"/>
    <n v="483"/>
    <n v="3400"/>
    <s v="Jan"/>
    <n v="1"/>
    <x v="0"/>
    <n v="1170"/>
    <n v="0.34411764705882403"/>
  </r>
  <r>
    <x v="0"/>
    <x v="0"/>
    <n v="483"/>
    <n v="3400"/>
    <s v="Feb"/>
    <n v="2"/>
    <x v="1"/>
    <n v="2674"/>
    <n v="0.78647058823529403"/>
  </r>
  <r>
    <x v="0"/>
    <x v="0"/>
    <n v="483"/>
    <n v="3400"/>
    <s v="Mar"/>
    <n v="3"/>
    <x v="2"/>
    <n v="4173"/>
    <n v="1.2273529411764701"/>
  </r>
  <r>
    <x v="0"/>
    <x v="0"/>
    <n v="483"/>
    <n v="3400"/>
    <s v="Apr"/>
    <n v="4"/>
    <x v="3"/>
    <n v="2218"/>
    <n v="0.65235294117647002"/>
  </r>
  <r>
    <x v="0"/>
    <x v="0"/>
    <n v="483"/>
    <n v="3400"/>
    <s v="May"/>
    <n v="5"/>
    <x v="4"/>
    <n v="2676"/>
    <n v="0.78705882352941203"/>
  </r>
  <r>
    <x v="0"/>
    <x v="0"/>
    <n v="483"/>
    <n v="3400"/>
    <s v="Jun"/>
    <n v="6"/>
    <x v="5"/>
    <n v="3318"/>
    <n v="0.97588235294117598"/>
  </r>
  <r>
    <x v="0"/>
    <x v="0"/>
    <n v="483"/>
    <n v="3400"/>
    <s v="Jul"/>
    <n v="7"/>
    <x v="6"/>
    <n v="2257"/>
    <n v="0.66382352941176503"/>
  </r>
  <r>
    <x v="0"/>
    <x v="0"/>
    <n v="483"/>
    <n v="3400"/>
    <s v="Aug"/>
    <n v="8"/>
    <x v="7"/>
    <n v="3326"/>
    <n v="0.97823529411764698"/>
  </r>
  <r>
    <x v="0"/>
    <x v="0"/>
    <n v="483"/>
    <n v="3400"/>
    <s v="Sep"/>
    <n v="9"/>
    <x v="8"/>
    <n v="3924"/>
    <n v="1.1541176470588199"/>
  </r>
  <r>
    <x v="0"/>
    <x v="0"/>
    <n v="483"/>
    <n v="3400"/>
    <s v="Oct"/>
    <n v="10"/>
    <x v="9"/>
    <n v="2523"/>
    <n v="0.74205882352941199"/>
  </r>
  <r>
    <x v="0"/>
    <x v="0"/>
    <n v="483"/>
    <n v="3400"/>
    <s v="Nov"/>
    <n v="11"/>
    <x v="10"/>
    <n v="5480"/>
    <n v="1.6117647058823501"/>
  </r>
  <r>
    <x v="0"/>
    <x v="0"/>
    <n v="483"/>
    <n v="3400"/>
    <s v="Dec"/>
    <n v="12"/>
    <x v="11"/>
    <n v="3590"/>
    <n v="1.05588235294118"/>
  </r>
  <r>
    <x v="0"/>
    <x v="1"/>
    <n v="486"/>
    <n v="2700"/>
    <s v="Jan"/>
    <n v="1"/>
    <x v="0"/>
    <n v="705"/>
    <n v="0.26111111111111102"/>
  </r>
  <r>
    <x v="0"/>
    <x v="1"/>
    <n v="486"/>
    <n v="2700"/>
    <s v="Feb"/>
    <n v="2"/>
    <x v="1"/>
    <n v="3734"/>
    <n v="1.3829629629629601"/>
  </r>
  <r>
    <x v="0"/>
    <x v="1"/>
    <n v="486"/>
    <n v="2700"/>
    <s v="Mar"/>
    <n v="3"/>
    <x v="2"/>
    <n v="2907"/>
    <n v="1.07666666666667"/>
  </r>
  <r>
    <x v="0"/>
    <x v="1"/>
    <n v="486"/>
    <n v="2700"/>
    <s v="Apr"/>
    <n v="4"/>
    <x v="3"/>
    <n v="4901"/>
    <n v="1.8151851851851899"/>
  </r>
  <r>
    <x v="0"/>
    <x v="1"/>
    <n v="486"/>
    <n v="2700"/>
    <s v="May"/>
    <n v="5"/>
    <x v="4"/>
    <n v="3478"/>
    <n v="1.28814814814815"/>
  </r>
  <r>
    <x v="0"/>
    <x v="1"/>
    <n v="486"/>
    <n v="2700"/>
    <s v="Jun"/>
    <n v="6"/>
    <x v="5"/>
    <n v="4651"/>
    <n v="1.72259259259259"/>
  </r>
  <r>
    <x v="0"/>
    <x v="1"/>
    <n v="486"/>
    <n v="2700"/>
    <s v="Jul"/>
    <n v="7"/>
    <x v="6"/>
    <n v="2813"/>
    <n v="1.04185185185185"/>
  </r>
  <r>
    <x v="0"/>
    <x v="1"/>
    <n v="486"/>
    <n v="2700"/>
    <s v="Aug"/>
    <n v="8"/>
    <x v="7"/>
    <n v="3042"/>
    <n v="1.12666666666667"/>
  </r>
  <r>
    <x v="0"/>
    <x v="1"/>
    <n v="486"/>
    <n v="2700"/>
    <s v="Sep"/>
    <n v="9"/>
    <x v="8"/>
    <n v="2440"/>
    <n v="0.90370370370370401"/>
  </r>
  <r>
    <x v="0"/>
    <x v="1"/>
    <n v="486"/>
    <n v="2700"/>
    <s v="Oct"/>
    <n v="10"/>
    <x v="9"/>
    <n v="4452"/>
    <n v="1.64888888888889"/>
  </r>
  <r>
    <x v="0"/>
    <x v="1"/>
    <n v="486"/>
    <n v="2700"/>
    <s v="Nov"/>
    <n v="11"/>
    <x v="10"/>
    <n v="3920"/>
    <n v="1.45185185185185"/>
  </r>
  <r>
    <x v="0"/>
    <x v="1"/>
    <n v="486"/>
    <n v="2700"/>
    <s v="Dec"/>
    <n v="12"/>
    <x v="11"/>
    <n v="2182"/>
    <n v="0.80814814814814795"/>
  </r>
  <r>
    <x v="0"/>
    <x v="2"/>
    <n v="477"/>
    <n v="5600"/>
    <s v="Jan"/>
    <n v="1"/>
    <x v="0"/>
    <n v="1931"/>
    <n v="0.344821428571429"/>
  </r>
  <r>
    <x v="0"/>
    <x v="2"/>
    <n v="477"/>
    <n v="5600"/>
    <s v="Feb"/>
    <n v="2"/>
    <x v="1"/>
    <n v="4766"/>
    <n v="0.85107142857142903"/>
  </r>
  <r>
    <x v="0"/>
    <x v="2"/>
    <n v="477"/>
    <n v="5600"/>
    <s v="Mar"/>
    <n v="3"/>
    <x v="2"/>
    <n v="3695"/>
    <n v="0.659821428571429"/>
  </r>
  <r>
    <x v="0"/>
    <x v="2"/>
    <n v="477"/>
    <n v="5600"/>
    <s v="Apr"/>
    <n v="4"/>
    <x v="3"/>
    <n v="4488"/>
    <n v="0.80142857142857105"/>
  </r>
  <r>
    <x v="0"/>
    <x v="2"/>
    <n v="477"/>
    <n v="5600"/>
    <s v="May"/>
    <n v="5"/>
    <x v="4"/>
    <n v="4090"/>
    <n v="0.73035714285714304"/>
  </r>
  <r>
    <x v="0"/>
    <x v="2"/>
    <n v="477"/>
    <n v="5600"/>
    <s v="Jun"/>
    <n v="6"/>
    <x v="5"/>
    <n v="6296"/>
    <n v="1.1242857142857099"/>
  </r>
  <r>
    <x v="0"/>
    <x v="2"/>
    <n v="477"/>
    <n v="5600"/>
    <s v="Jul"/>
    <n v="7"/>
    <x v="6"/>
    <n v="4910"/>
    <n v="0.87678571428571395"/>
  </r>
  <r>
    <x v="0"/>
    <x v="2"/>
    <n v="477"/>
    <n v="5600"/>
    <s v="Aug"/>
    <n v="8"/>
    <x v="7"/>
    <n v="5270"/>
    <n v="0.941071428571429"/>
  </r>
  <r>
    <x v="0"/>
    <x v="2"/>
    <n v="477"/>
    <n v="5600"/>
    <s v="Sep"/>
    <n v="9"/>
    <x v="8"/>
    <n v="5500"/>
    <n v="0.98214285714285698"/>
  </r>
  <r>
    <x v="0"/>
    <x v="2"/>
    <n v="477"/>
    <n v="5600"/>
    <s v="Oct"/>
    <n v="10"/>
    <x v="9"/>
    <n v="5568"/>
    <n v="0.994285714285714"/>
  </r>
  <r>
    <x v="0"/>
    <x v="2"/>
    <n v="477"/>
    <n v="5600"/>
    <s v="Nov"/>
    <n v="11"/>
    <x v="10"/>
    <n v="5259"/>
    <n v="0.93910714285714303"/>
  </r>
  <r>
    <x v="0"/>
    <x v="2"/>
    <n v="477"/>
    <n v="5600"/>
    <s v="Dec"/>
    <n v="12"/>
    <x v="11"/>
    <n v="6064"/>
    <n v="1.0828571428571401"/>
  </r>
  <r>
    <x v="0"/>
    <x v="3"/>
    <n v="484"/>
    <n v="500"/>
    <s v="Jan"/>
    <n v="1"/>
    <x v="0"/>
    <n v="199"/>
    <n v="0.39800000000000002"/>
  </r>
  <r>
    <x v="0"/>
    <x v="3"/>
    <n v="484"/>
    <n v="500"/>
    <s v="Feb"/>
    <n v="2"/>
    <x v="1"/>
    <n v="752"/>
    <n v="1.504"/>
  </r>
  <r>
    <x v="0"/>
    <x v="3"/>
    <n v="484"/>
    <n v="500"/>
    <s v="Mar"/>
    <n v="3"/>
    <x v="2"/>
    <n v="594"/>
    <n v="1.1879999999999999"/>
  </r>
  <r>
    <x v="0"/>
    <x v="3"/>
    <n v="484"/>
    <n v="500"/>
    <s v="Apr"/>
    <n v="4"/>
    <x v="3"/>
    <n v="695"/>
    <n v="1.39"/>
  </r>
  <r>
    <x v="0"/>
    <x v="3"/>
    <n v="484"/>
    <n v="500"/>
    <s v="May"/>
    <n v="5"/>
    <x v="4"/>
    <n v="408"/>
    <n v="0.81599999999999995"/>
  </r>
  <r>
    <x v="0"/>
    <x v="3"/>
    <n v="484"/>
    <n v="500"/>
    <s v="Jun"/>
    <n v="6"/>
    <x v="5"/>
    <n v="621"/>
    <n v="1.242"/>
  </r>
  <r>
    <x v="0"/>
    <x v="3"/>
    <n v="484"/>
    <n v="500"/>
    <s v="Jul"/>
    <n v="7"/>
    <x v="6"/>
    <n v="816"/>
    <n v="1.6319999999999999"/>
  </r>
  <r>
    <x v="0"/>
    <x v="3"/>
    <n v="484"/>
    <n v="500"/>
    <s v="Aug"/>
    <n v="8"/>
    <x v="7"/>
    <n v="816"/>
    <n v="1.6319999999999999"/>
  </r>
  <r>
    <x v="0"/>
    <x v="3"/>
    <n v="484"/>
    <n v="500"/>
    <s v="Sep"/>
    <n v="9"/>
    <x v="8"/>
    <n v="278"/>
    <n v="0.55600000000000005"/>
  </r>
  <r>
    <x v="0"/>
    <x v="3"/>
    <n v="484"/>
    <n v="500"/>
    <s v="Oct"/>
    <n v="10"/>
    <x v="9"/>
    <n v="535"/>
    <n v="1.07"/>
  </r>
  <r>
    <x v="0"/>
    <x v="3"/>
    <n v="484"/>
    <n v="500"/>
    <s v="Nov"/>
    <n v="11"/>
    <x v="10"/>
    <n v="725"/>
    <n v="1.45"/>
  </r>
  <r>
    <x v="0"/>
    <x v="3"/>
    <n v="484"/>
    <n v="500"/>
    <s v="Dec"/>
    <n v="12"/>
    <x v="11"/>
    <n v="494"/>
    <n v="0.98799999999999999"/>
  </r>
  <r>
    <x v="0"/>
    <x v="4"/>
    <n v="485"/>
    <n v="3600"/>
    <s v="Jan"/>
    <n v="1"/>
    <x v="0"/>
    <n v="1009"/>
    <n v="0.28027777777777801"/>
  </r>
  <r>
    <x v="0"/>
    <x v="4"/>
    <n v="485"/>
    <n v="3600"/>
    <s v="Feb"/>
    <n v="2"/>
    <x v="1"/>
    <n v="3053"/>
    <n v="0.84805555555555601"/>
  </r>
  <r>
    <x v="0"/>
    <x v="4"/>
    <n v="485"/>
    <n v="3600"/>
    <s v="Mar"/>
    <n v="3"/>
    <x v="2"/>
    <n v="2848"/>
    <n v="0.79111111111111099"/>
  </r>
  <r>
    <x v="0"/>
    <x v="4"/>
    <n v="485"/>
    <n v="3600"/>
    <s v="Apr"/>
    <n v="4"/>
    <x v="3"/>
    <n v="4298"/>
    <n v="1.1938888888888901"/>
  </r>
  <r>
    <x v="0"/>
    <x v="4"/>
    <n v="485"/>
    <n v="3600"/>
    <s v="May"/>
    <n v="5"/>
    <x v="4"/>
    <n v="3677"/>
    <n v="1.02138888888889"/>
  </r>
  <r>
    <x v="0"/>
    <x v="4"/>
    <n v="485"/>
    <n v="3600"/>
    <s v="Jun"/>
    <n v="6"/>
    <x v="5"/>
    <n v="3760"/>
    <n v="1.0444444444444401"/>
  </r>
  <r>
    <x v="0"/>
    <x v="4"/>
    <n v="485"/>
    <n v="3600"/>
    <s v="Jul"/>
    <n v="7"/>
    <x v="6"/>
    <n v="4229"/>
    <n v="1.17472222222222"/>
  </r>
  <r>
    <x v="0"/>
    <x v="4"/>
    <n v="485"/>
    <n v="3600"/>
    <s v="Aug"/>
    <n v="8"/>
    <x v="7"/>
    <n v="3657"/>
    <n v="1.01583333333333"/>
  </r>
  <r>
    <x v="0"/>
    <x v="4"/>
    <n v="485"/>
    <n v="3600"/>
    <s v="Sep"/>
    <n v="9"/>
    <x v="8"/>
    <n v="4014"/>
    <n v="1.115"/>
  </r>
  <r>
    <x v="0"/>
    <x v="4"/>
    <n v="485"/>
    <n v="3600"/>
    <s v="Oct"/>
    <n v="10"/>
    <x v="9"/>
    <n v="3931"/>
    <n v="1.0919444444444399"/>
  </r>
  <r>
    <x v="0"/>
    <x v="4"/>
    <n v="485"/>
    <n v="3600"/>
    <s v="Nov"/>
    <n v="11"/>
    <x v="10"/>
    <n v="4779"/>
    <n v="1.3274999999999999"/>
  </r>
  <r>
    <x v="0"/>
    <x v="4"/>
    <n v="485"/>
    <n v="3600"/>
    <s v="Dec"/>
    <n v="12"/>
    <x v="11"/>
    <n v="4883"/>
    <n v="1.35638888888889"/>
  </r>
  <r>
    <x v="0"/>
    <x v="5"/>
    <n v="212"/>
    <n v="15200"/>
    <s v="Jan"/>
    <n v="1"/>
    <x v="0"/>
    <n v="5356"/>
    <n v="0.352368421052632"/>
  </r>
  <r>
    <x v="0"/>
    <x v="5"/>
    <n v="212"/>
    <n v="15200"/>
    <s v="Feb"/>
    <n v="2"/>
    <x v="1"/>
    <n v="16260"/>
    <n v="1.06973684210526"/>
  </r>
  <r>
    <x v="0"/>
    <x v="5"/>
    <n v="212"/>
    <n v="15200"/>
    <s v="Mar"/>
    <n v="3"/>
    <x v="2"/>
    <n v="16791"/>
    <n v="1.1046710526315799"/>
  </r>
  <r>
    <x v="0"/>
    <x v="5"/>
    <n v="212"/>
    <n v="15200"/>
    <s v="Apr"/>
    <n v="4"/>
    <x v="3"/>
    <n v="16591"/>
    <n v="1.0915131578947399"/>
  </r>
  <r>
    <x v="0"/>
    <x v="5"/>
    <n v="212"/>
    <n v="15200"/>
    <s v="May"/>
    <n v="5"/>
    <x v="4"/>
    <n v="17243"/>
    <n v="1.1344078947368399"/>
  </r>
  <r>
    <x v="0"/>
    <x v="5"/>
    <n v="212"/>
    <n v="15200"/>
    <s v="Jun"/>
    <n v="6"/>
    <x v="5"/>
    <n v="25393"/>
    <n v="1.67059210526316"/>
  </r>
  <r>
    <x v="0"/>
    <x v="5"/>
    <n v="212"/>
    <n v="15200"/>
    <s v="Jul"/>
    <n v="7"/>
    <x v="6"/>
    <n v="17623"/>
    <n v="1.15940789473684"/>
  </r>
  <r>
    <x v="0"/>
    <x v="5"/>
    <n v="212"/>
    <n v="15200"/>
    <s v="Aug"/>
    <n v="8"/>
    <x v="7"/>
    <n v="20448"/>
    <n v="1.34526315789474"/>
  </r>
  <r>
    <x v="0"/>
    <x v="5"/>
    <n v="212"/>
    <n v="15200"/>
    <s v="Sep"/>
    <n v="9"/>
    <x v="8"/>
    <n v="18307"/>
    <n v="1.20440789473684"/>
  </r>
  <r>
    <x v="0"/>
    <x v="5"/>
    <n v="212"/>
    <n v="15200"/>
    <s v="Oct"/>
    <n v="10"/>
    <x v="9"/>
    <n v="20606"/>
    <n v="1.3556578947368401"/>
  </r>
  <r>
    <x v="0"/>
    <x v="5"/>
    <n v="212"/>
    <n v="15200"/>
    <s v="Nov"/>
    <n v="11"/>
    <x v="10"/>
    <n v="25610"/>
    <n v="1.6848684210526299"/>
  </r>
  <r>
    <x v="0"/>
    <x v="5"/>
    <n v="212"/>
    <n v="15200"/>
    <s v="Dec"/>
    <n v="12"/>
    <x v="11"/>
    <n v="22145"/>
    <n v="1.4569078947368399"/>
  </r>
  <r>
    <x v="0"/>
    <x v="6"/>
    <n v="487"/>
    <n v="3800"/>
    <s v="Jan"/>
    <n v="1"/>
    <x v="0"/>
    <n v="848"/>
    <n v="0.223157894736842"/>
  </r>
  <r>
    <x v="0"/>
    <x v="6"/>
    <n v="487"/>
    <n v="3800"/>
    <s v="Feb"/>
    <n v="2"/>
    <x v="1"/>
    <n v="2723"/>
    <n v="0.71657894736842098"/>
  </r>
  <r>
    <x v="0"/>
    <x v="6"/>
    <n v="487"/>
    <n v="3800"/>
    <s v="Mar"/>
    <n v="3"/>
    <x v="2"/>
    <n v="2956"/>
    <n v="0.77789473684210497"/>
  </r>
  <r>
    <x v="0"/>
    <x v="6"/>
    <n v="487"/>
    <n v="3800"/>
    <s v="Apr"/>
    <n v="4"/>
    <x v="3"/>
    <n v="3464"/>
    <n v="0.91157894736842104"/>
  </r>
  <r>
    <x v="0"/>
    <x v="6"/>
    <n v="487"/>
    <n v="3800"/>
    <s v="May"/>
    <n v="5"/>
    <x v="4"/>
    <n v="2755"/>
    <n v="0.72499999999999998"/>
  </r>
  <r>
    <x v="0"/>
    <x v="6"/>
    <n v="487"/>
    <n v="3800"/>
    <s v="Jun"/>
    <n v="6"/>
    <x v="5"/>
    <n v="3299"/>
    <n v="0.86815789473684202"/>
  </r>
  <r>
    <x v="0"/>
    <x v="6"/>
    <n v="487"/>
    <n v="3800"/>
    <s v="Jul"/>
    <n v="7"/>
    <x v="6"/>
    <n v="3812"/>
    <n v="1.00315789473684"/>
  </r>
  <r>
    <x v="0"/>
    <x v="6"/>
    <n v="487"/>
    <n v="3800"/>
    <s v="Aug"/>
    <n v="8"/>
    <x v="7"/>
    <n v="3562"/>
    <n v="0.93736842105263196"/>
  </r>
  <r>
    <x v="0"/>
    <x v="6"/>
    <n v="487"/>
    <n v="3800"/>
    <s v="Sep"/>
    <n v="9"/>
    <x v="8"/>
    <n v="4291"/>
    <n v="1.1292105263157901"/>
  </r>
  <r>
    <x v="0"/>
    <x v="6"/>
    <n v="487"/>
    <n v="3800"/>
    <s v="Oct"/>
    <n v="10"/>
    <x v="9"/>
    <n v="3150"/>
    <n v="0.82894736842105299"/>
  </r>
  <r>
    <x v="0"/>
    <x v="6"/>
    <n v="487"/>
    <n v="3800"/>
    <s v="Nov"/>
    <n v="11"/>
    <x v="10"/>
    <n v="5024"/>
    <n v="1.32210526315789"/>
  </r>
  <r>
    <x v="0"/>
    <x v="6"/>
    <n v="487"/>
    <n v="3800"/>
    <s v="Dec"/>
    <n v="12"/>
    <x v="11"/>
    <n v="4387"/>
    <n v="1.1544736842105301"/>
  </r>
  <r>
    <x v="0"/>
    <x v="7"/>
    <n v="480"/>
    <n v="22100"/>
    <s v="Jan"/>
    <n v="1"/>
    <x v="0"/>
    <n v="3593"/>
    <n v="0.16257918552036199"/>
  </r>
  <r>
    <x v="0"/>
    <x v="7"/>
    <n v="480"/>
    <n v="22100"/>
    <s v="Feb"/>
    <n v="2"/>
    <x v="1"/>
    <n v="18797"/>
    <n v="0.85054298642533899"/>
  </r>
  <r>
    <x v="0"/>
    <x v="7"/>
    <n v="480"/>
    <n v="22100"/>
    <s v="Mar"/>
    <n v="3"/>
    <x v="2"/>
    <n v="20944"/>
    <n v="0.94769230769230794"/>
  </r>
  <r>
    <x v="0"/>
    <x v="7"/>
    <n v="480"/>
    <n v="22100"/>
    <s v="Apr"/>
    <n v="4"/>
    <x v="3"/>
    <n v="18085"/>
    <n v="0.81832579185520404"/>
  </r>
  <r>
    <x v="0"/>
    <x v="7"/>
    <n v="480"/>
    <n v="22100"/>
    <s v="May"/>
    <n v="5"/>
    <x v="4"/>
    <n v="21719"/>
    <n v="0.98276018099547502"/>
  </r>
  <r>
    <x v="0"/>
    <x v="7"/>
    <n v="480"/>
    <n v="22100"/>
    <s v="Jun"/>
    <n v="6"/>
    <x v="5"/>
    <n v="22495"/>
    <n v="1.0178733031674201"/>
  </r>
  <r>
    <x v="0"/>
    <x v="7"/>
    <n v="480"/>
    <n v="22100"/>
    <s v="Jul"/>
    <n v="7"/>
    <x v="6"/>
    <n v="24034"/>
    <n v="1.08751131221719"/>
  </r>
  <r>
    <x v="0"/>
    <x v="7"/>
    <n v="480"/>
    <n v="22100"/>
    <s v="Aug"/>
    <n v="8"/>
    <x v="7"/>
    <n v="22961"/>
    <n v="1.0389592760180999"/>
  </r>
  <r>
    <x v="0"/>
    <x v="7"/>
    <n v="480"/>
    <n v="22100"/>
    <s v="Sep"/>
    <n v="9"/>
    <x v="8"/>
    <n v="20989"/>
    <n v="0.94972850678733001"/>
  </r>
  <r>
    <x v="0"/>
    <x v="7"/>
    <n v="480"/>
    <n v="22100"/>
    <s v="Oct"/>
    <n v="10"/>
    <x v="9"/>
    <n v="21944"/>
    <n v="0.99294117647058799"/>
  </r>
  <r>
    <x v="0"/>
    <x v="7"/>
    <n v="480"/>
    <n v="22100"/>
    <s v="Nov"/>
    <n v="11"/>
    <x v="10"/>
    <n v="24058"/>
    <n v="1.08859728506787"/>
  </r>
  <r>
    <x v="0"/>
    <x v="7"/>
    <n v="480"/>
    <n v="22100"/>
    <s v="Dec"/>
    <n v="12"/>
    <x v="11"/>
    <n v="23626"/>
    <n v="1.0690497737556599"/>
  </r>
  <r>
    <x v="1"/>
    <x v="8"/>
    <n v="344"/>
    <n v="506400"/>
    <s v="Jan"/>
    <n v="1"/>
    <x v="0"/>
    <n v="370066"/>
    <n v="0.73077804107425004"/>
  </r>
  <r>
    <x v="1"/>
    <x v="8"/>
    <n v="344"/>
    <n v="506400"/>
    <s v="Feb"/>
    <n v="2"/>
    <x v="1"/>
    <n v="326747"/>
    <n v="0.64523499210110602"/>
  </r>
  <r>
    <x v="1"/>
    <x v="8"/>
    <n v="344"/>
    <n v="506400"/>
    <s v="Mar"/>
    <n v="3"/>
    <x v="2"/>
    <n v="384772"/>
    <n v="0.75981832543443895"/>
  </r>
  <r>
    <x v="1"/>
    <x v="8"/>
    <n v="344"/>
    <n v="506400"/>
    <s v="Apr"/>
    <n v="4"/>
    <x v="3"/>
    <n v="439783"/>
    <n v="0.86844984202211695"/>
  </r>
  <r>
    <x v="1"/>
    <x v="8"/>
    <n v="344"/>
    <n v="506400"/>
    <s v="May"/>
    <n v="5"/>
    <x v="4"/>
    <n v="458484"/>
    <n v="0.905379146919431"/>
  </r>
  <r>
    <x v="1"/>
    <x v="8"/>
    <n v="344"/>
    <n v="506400"/>
    <s v="Jun"/>
    <n v="6"/>
    <x v="5"/>
    <n v="619417"/>
    <n v="1.2231773301737801"/>
  </r>
  <r>
    <x v="1"/>
    <x v="8"/>
    <n v="344"/>
    <n v="506400"/>
    <s v="Jul"/>
    <n v="7"/>
    <x v="6"/>
    <n v="524309"/>
    <n v="1.0353653238546601"/>
  </r>
  <r>
    <x v="1"/>
    <x v="8"/>
    <n v="344"/>
    <n v="506400"/>
    <s v="Aug"/>
    <n v="8"/>
    <x v="7"/>
    <n v="647009"/>
    <n v="1.2776639020537099"/>
  </r>
  <r>
    <x v="1"/>
    <x v="8"/>
    <n v="344"/>
    <n v="506400"/>
    <s v="Sep"/>
    <n v="9"/>
    <x v="8"/>
    <n v="557329"/>
    <n v="1.1005706951026899"/>
  </r>
  <r>
    <x v="1"/>
    <x v="8"/>
    <n v="344"/>
    <n v="506400"/>
    <s v="Oct"/>
    <n v="10"/>
    <x v="9"/>
    <n v="614993"/>
    <n v="1.21444115323855"/>
  </r>
  <r>
    <x v="1"/>
    <x v="8"/>
    <n v="344"/>
    <n v="506400"/>
    <s v="Nov"/>
    <n v="11"/>
    <x v="10"/>
    <n v="802792"/>
    <n v="1.5852922590837299"/>
  </r>
  <r>
    <x v="1"/>
    <x v="8"/>
    <n v="344"/>
    <n v="506400"/>
    <s v="Dec"/>
    <n v="12"/>
    <x v="11"/>
    <n v="788195"/>
    <n v="1.5564672195892599"/>
  </r>
  <r>
    <x v="1"/>
    <x v="9"/>
    <n v="310"/>
    <n v="376800"/>
    <s v="Jan"/>
    <n v="1"/>
    <x v="0"/>
    <n v="346256"/>
    <n v="0.91893842887473498"/>
  </r>
  <r>
    <x v="1"/>
    <x v="9"/>
    <n v="310"/>
    <n v="376800"/>
    <s v="Feb"/>
    <n v="2"/>
    <x v="1"/>
    <n v="289485"/>
    <n v="0.76827229299362998"/>
  </r>
  <r>
    <x v="1"/>
    <x v="9"/>
    <n v="310"/>
    <n v="376800"/>
    <s v="Mar"/>
    <n v="3"/>
    <x v="2"/>
    <n v="355058"/>
    <n v="0.94229830148619997"/>
  </r>
  <r>
    <x v="1"/>
    <x v="9"/>
    <n v="310"/>
    <n v="376800"/>
    <s v="Apr"/>
    <n v="4"/>
    <x v="3"/>
    <n v="346744"/>
    <n v="0.92023354564755799"/>
  </r>
  <r>
    <x v="1"/>
    <x v="9"/>
    <n v="310"/>
    <n v="376800"/>
    <s v="May"/>
    <n v="5"/>
    <x v="4"/>
    <n v="399652"/>
    <n v="1.0606475583864099"/>
  </r>
  <r>
    <x v="1"/>
    <x v="9"/>
    <n v="310"/>
    <n v="376800"/>
    <s v="Jun"/>
    <n v="6"/>
    <x v="5"/>
    <n v="546053"/>
    <n v="1.44918524416136"/>
  </r>
  <r>
    <x v="1"/>
    <x v="9"/>
    <n v="310"/>
    <n v="376800"/>
    <s v="Jul"/>
    <n v="7"/>
    <x v="6"/>
    <n v="440998"/>
    <n v="1.17037685774947"/>
  </r>
  <r>
    <x v="1"/>
    <x v="9"/>
    <n v="310"/>
    <n v="376800"/>
    <s v="Aug"/>
    <n v="8"/>
    <x v="7"/>
    <n v="432361"/>
    <n v="1.14745488322718"/>
  </r>
  <r>
    <x v="1"/>
    <x v="9"/>
    <n v="310"/>
    <n v="376800"/>
    <s v="Sep"/>
    <n v="9"/>
    <x v="8"/>
    <n v="468533"/>
    <n v="1.2434527600849301"/>
  </r>
  <r>
    <x v="1"/>
    <x v="9"/>
    <n v="310"/>
    <n v="376800"/>
    <s v="Oct"/>
    <n v="10"/>
    <x v="9"/>
    <n v="483874"/>
    <n v="1.28416666666667"/>
  </r>
  <r>
    <x v="1"/>
    <x v="9"/>
    <n v="310"/>
    <n v="376800"/>
    <s v="Nov"/>
    <n v="11"/>
    <x v="10"/>
    <n v="558193"/>
    <n v="1.4814039278131601"/>
  </r>
  <r>
    <x v="1"/>
    <x v="9"/>
    <n v="310"/>
    <n v="376800"/>
    <s v="Dec"/>
    <n v="12"/>
    <x v="11"/>
    <n v="590222"/>
    <n v="1.56640658174098"/>
  </r>
  <r>
    <x v="1"/>
    <x v="10"/>
    <n v="560"/>
    <n v="375200"/>
    <s v="Jan"/>
    <n v="1"/>
    <x v="0"/>
    <n v="133592"/>
    <n v="0.35605543710021298"/>
  </r>
  <r>
    <x v="1"/>
    <x v="10"/>
    <n v="560"/>
    <n v="375200"/>
    <s v="Feb"/>
    <n v="2"/>
    <x v="1"/>
    <n v="165902"/>
    <n v="0.44216950959488299"/>
  </r>
  <r>
    <x v="1"/>
    <x v="10"/>
    <n v="560"/>
    <n v="375200"/>
    <s v="Mar"/>
    <n v="3"/>
    <x v="2"/>
    <n v="178248"/>
    <n v="0.47507462686567198"/>
  </r>
  <r>
    <x v="1"/>
    <x v="10"/>
    <n v="560"/>
    <n v="375200"/>
    <s v="Apr"/>
    <n v="4"/>
    <x v="3"/>
    <n v="265862"/>
    <n v="0.70858742004264397"/>
  </r>
  <r>
    <x v="1"/>
    <x v="10"/>
    <n v="560"/>
    <n v="375200"/>
    <s v="May"/>
    <n v="5"/>
    <x v="4"/>
    <n v="286591"/>
    <n v="0.76383528784648203"/>
  </r>
  <r>
    <x v="1"/>
    <x v="10"/>
    <n v="560"/>
    <n v="375200"/>
    <s v="Jun"/>
    <n v="6"/>
    <x v="5"/>
    <n v="445231"/>
    <n v="1.18664978678038"/>
  </r>
  <r>
    <x v="1"/>
    <x v="10"/>
    <n v="560"/>
    <n v="375200"/>
    <s v="Jul"/>
    <n v="7"/>
    <x v="6"/>
    <n v="299067"/>
    <n v="0.79708688699360397"/>
  </r>
  <r>
    <x v="1"/>
    <x v="10"/>
    <n v="560"/>
    <n v="375200"/>
    <s v="Aug"/>
    <n v="8"/>
    <x v="7"/>
    <n v="407030"/>
    <n v="1.08483475479744"/>
  </r>
  <r>
    <x v="1"/>
    <x v="10"/>
    <n v="560"/>
    <n v="375200"/>
    <s v="Sep"/>
    <n v="9"/>
    <x v="8"/>
    <n v="391541"/>
    <n v="1.0435527718550099"/>
  </r>
  <r>
    <x v="1"/>
    <x v="10"/>
    <n v="560"/>
    <n v="375200"/>
    <s v="Oct"/>
    <n v="10"/>
    <x v="9"/>
    <n v="481277"/>
    <n v="1.2827212153518099"/>
  </r>
  <r>
    <x v="1"/>
    <x v="10"/>
    <n v="560"/>
    <n v="375200"/>
    <s v="Nov"/>
    <n v="11"/>
    <x v="10"/>
    <n v="506372"/>
    <n v="1.3496055437100201"/>
  </r>
  <r>
    <x v="1"/>
    <x v="10"/>
    <n v="560"/>
    <n v="375200"/>
    <s v="Dec"/>
    <n v="12"/>
    <x v="11"/>
    <n v="494784"/>
    <n v="1.31872068230277"/>
  </r>
  <r>
    <x v="2"/>
    <x v="11"/>
    <n v="223"/>
    <n v="1600"/>
    <s v="Jan"/>
    <n v="1"/>
    <x v="0"/>
    <n v="518"/>
    <n v="0.32374999999999998"/>
  </r>
  <r>
    <x v="2"/>
    <x v="11"/>
    <n v="223"/>
    <n v="1600"/>
    <s v="Feb"/>
    <n v="2"/>
    <x v="1"/>
    <n v="1734"/>
    <n v="1.08375"/>
  </r>
  <r>
    <x v="2"/>
    <x v="11"/>
    <n v="223"/>
    <n v="1600"/>
    <s v="Mar"/>
    <n v="3"/>
    <x v="2"/>
    <n v="1501"/>
    <n v="0.93812499999999999"/>
  </r>
  <r>
    <x v="2"/>
    <x v="11"/>
    <n v="223"/>
    <n v="1600"/>
    <s v="Apr"/>
    <n v="4"/>
    <x v="3"/>
    <n v="1118"/>
    <n v="0.69874999999999998"/>
  </r>
  <r>
    <x v="2"/>
    <x v="11"/>
    <n v="223"/>
    <n v="1600"/>
    <s v="May"/>
    <n v="5"/>
    <x v="4"/>
    <n v="1768"/>
    <n v="1.105"/>
  </r>
  <r>
    <x v="2"/>
    <x v="11"/>
    <n v="223"/>
    <n v="1600"/>
    <s v="Jun"/>
    <n v="6"/>
    <x v="5"/>
    <n v="2219"/>
    <n v="1.3868750000000001"/>
  </r>
  <r>
    <x v="2"/>
    <x v="11"/>
    <n v="223"/>
    <n v="1600"/>
    <s v="Jul"/>
    <n v="7"/>
    <x v="6"/>
    <n v="1627"/>
    <n v="1.016875"/>
  </r>
  <r>
    <x v="2"/>
    <x v="11"/>
    <n v="223"/>
    <n v="1600"/>
    <s v="Aug"/>
    <n v="8"/>
    <x v="7"/>
    <n v="2104"/>
    <n v="1.3149999999999999"/>
  </r>
  <r>
    <x v="2"/>
    <x v="11"/>
    <n v="223"/>
    <n v="1600"/>
    <s v="Sep"/>
    <n v="9"/>
    <x v="8"/>
    <n v="2052"/>
    <n v="1.2825"/>
  </r>
  <r>
    <x v="2"/>
    <x v="11"/>
    <n v="223"/>
    <n v="1600"/>
    <s v="Oct"/>
    <n v="10"/>
    <x v="9"/>
    <n v="2177"/>
    <n v="1.360625"/>
  </r>
  <r>
    <x v="2"/>
    <x v="11"/>
    <n v="223"/>
    <n v="1600"/>
    <s v="Nov"/>
    <n v="11"/>
    <x v="10"/>
    <n v="1869"/>
    <n v="1.1681250000000001"/>
  </r>
  <r>
    <x v="2"/>
    <x v="11"/>
    <n v="223"/>
    <n v="1600"/>
    <s v="Dec"/>
    <n v="12"/>
    <x v="11"/>
    <n v="2152"/>
    <n v="1.345"/>
  </r>
  <r>
    <x v="2"/>
    <x v="12"/>
    <n v="462"/>
    <n v="2400"/>
    <s v="Jan"/>
    <n v="1"/>
    <x v="0"/>
    <n v="637"/>
    <n v="0.26541666666666702"/>
  </r>
  <r>
    <x v="2"/>
    <x v="12"/>
    <n v="462"/>
    <n v="2400"/>
    <s v="Feb"/>
    <n v="2"/>
    <x v="1"/>
    <n v="2513"/>
    <n v="1.04708333333333"/>
  </r>
  <r>
    <x v="2"/>
    <x v="12"/>
    <n v="462"/>
    <n v="2400"/>
    <s v="Mar"/>
    <n v="3"/>
    <x v="2"/>
    <n v="2996"/>
    <n v="1.24833333333333"/>
  </r>
  <r>
    <x v="2"/>
    <x v="12"/>
    <n v="462"/>
    <n v="2400"/>
    <s v="Apr"/>
    <n v="4"/>
    <x v="3"/>
    <n v="2744"/>
    <n v="1.14333333333333"/>
  </r>
  <r>
    <x v="2"/>
    <x v="12"/>
    <n v="462"/>
    <n v="2400"/>
    <s v="May"/>
    <n v="5"/>
    <x v="4"/>
    <n v="2858"/>
    <n v="1.1908333333333301"/>
  </r>
  <r>
    <x v="2"/>
    <x v="12"/>
    <n v="462"/>
    <n v="2400"/>
    <s v="Jun"/>
    <n v="6"/>
    <x v="5"/>
    <n v="3005"/>
    <n v="1.2520833333333301"/>
  </r>
  <r>
    <x v="2"/>
    <x v="12"/>
    <n v="462"/>
    <n v="2400"/>
    <s v="Jul"/>
    <n v="7"/>
    <x v="6"/>
    <n v="3014"/>
    <n v="1.25583333333333"/>
  </r>
  <r>
    <x v="2"/>
    <x v="12"/>
    <n v="462"/>
    <n v="2400"/>
    <s v="Aug"/>
    <n v="8"/>
    <x v="7"/>
    <n v="3303"/>
    <n v="1.37625"/>
  </r>
  <r>
    <x v="2"/>
    <x v="12"/>
    <n v="462"/>
    <n v="2400"/>
    <s v="Sep"/>
    <n v="9"/>
    <x v="8"/>
    <n v="2463"/>
    <n v="1.0262500000000001"/>
  </r>
  <r>
    <x v="2"/>
    <x v="12"/>
    <n v="462"/>
    <n v="2400"/>
    <s v="Oct"/>
    <n v="10"/>
    <x v="9"/>
    <n v="3220"/>
    <n v="1.3416666666666699"/>
  </r>
  <r>
    <x v="2"/>
    <x v="12"/>
    <n v="462"/>
    <n v="2400"/>
    <s v="Nov"/>
    <n v="11"/>
    <x v="10"/>
    <n v="3557"/>
    <n v="1.4820833333333301"/>
  </r>
  <r>
    <x v="2"/>
    <x v="12"/>
    <n v="462"/>
    <n v="2400"/>
    <s v="Dec"/>
    <n v="12"/>
    <x v="11"/>
    <n v="4123"/>
    <n v="1.7179166666666701"/>
  </r>
  <r>
    <x v="2"/>
    <x v="13"/>
    <n v="226"/>
    <n v="15000"/>
    <s v="Jan"/>
    <n v="1"/>
    <x v="0"/>
    <n v="4126"/>
    <n v="0.27506666666666701"/>
  </r>
  <r>
    <x v="2"/>
    <x v="13"/>
    <n v="226"/>
    <n v="15000"/>
    <s v="Feb"/>
    <n v="2"/>
    <x v="1"/>
    <n v="11547"/>
    <n v="0.76980000000000004"/>
  </r>
  <r>
    <x v="2"/>
    <x v="13"/>
    <n v="226"/>
    <n v="15000"/>
    <s v="Mar"/>
    <n v="3"/>
    <x v="2"/>
    <n v="12911"/>
    <n v="0.86073333333333302"/>
  </r>
  <r>
    <x v="2"/>
    <x v="13"/>
    <n v="226"/>
    <n v="15000"/>
    <s v="Apr"/>
    <n v="4"/>
    <x v="3"/>
    <n v="11848"/>
    <n v="0.78986666666666705"/>
  </r>
  <r>
    <x v="2"/>
    <x v="13"/>
    <n v="226"/>
    <n v="15000"/>
    <s v="May"/>
    <n v="5"/>
    <x v="4"/>
    <n v="12828"/>
    <n v="0.85519999999999996"/>
  </r>
  <r>
    <x v="2"/>
    <x v="13"/>
    <n v="226"/>
    <n v="15000"/>
    <s v="Jun"/>
    <n v="6"/>
    <x v="5"/>
    <n v="18192"/>
    <n v="1.2128000000000001"/>
  </r>
  <r>
    <x v="2"/>
    <x v="13"/>
    <n v="226"/>
    <n v="15000"/>
    <s v="Jul"/>
    <n v="7"/>
    <x v="6"/>
    <n v="16885"/>
    <n v="1.1256666666666699"/>
  </r>
  <r>
    <x v="2"/>
    <x v="13"/>
    <n v="226"/>
    <n v="15000"/>
    <s v="Aug"/>
    <n v="8"/>
    <x v="7"/>
    <n v="13536"/>
    <n v="0.90239999999999998"/>
  </r>
  <r>
    <x v="2"/>
    <x v="13"/>
    <n v="226"/>
    <n v="15000"/>
    <s v="Sep"/>
    <n v="9"/>
    <x v="8"/>
    <n v="16027"/>
    <n v="1.06846666666667"/>
  </r>
  <r>
    <x v="2"/>
    <x v="13"/>
    <n v="226"/>
    <n v="15000"/>
    <s v="Oct"/>
    <n v="10"/>
    <x v="9"/>
    <n v="15959"/>
    <n v="1.0639333333333301"/>
  </r>
  <r>
    <x v="2"/>
    <x v="13"/>
    <n v="226"/>
    <n v="15000"/>
    <s v="Nov"/>
    <n v="11"/>
    <x v="10"/>
    <n v="17465"/>
    <n v="1.1643333333333299"/>
  </r>
  <r>
    <x v="2"/>
    <x v="13"/>
    <n v="226"/>
    <n v="15000"/>
    <s v="Dec"/>
    <n v="12"/>
    <x v="11"/>
    <n v="20082"/>
    <n v="1.3388"/>
  </r>
  <r>
    <x v="2"/>
    <x v="14"/>
    <n v="445"/>
    <n v="6400"/>
    <s v="Jan"/>
    <n v="1"/>
    <x v="0"/>
    <n v="460"/>
    <n v="7.1874999999999994E-2"/>
  </r>
  <r>
    <x v="2"/>
    <x v="14"/>
    <n v="445"/>
    <n v="6400"/>
    <s v="Feb"/>
    <n v="2"/>
    <x v="1"/>
    <n v="5762"/>
    <n v="0.90031249999999996"/>
  </r>
  <r>
    <x v="2"/>
    <x v="14"/>
    <n v="445"/>
    <n v="6400"/>
    <s v="Mar"/>
    <n v="3"/>
    <x v="2"/>
    <n v="7340"/>
    <n v="1.1468750000000001"/>
  </r>
  <r>
    <x v="2"/>
    <x v="14"/>
    <n v="445"/>
    <n v="6400"/>
    <s v="Apr"/>
    <n v="4"/>
    <x v="3"/>
    <n v="6374"/>
    <n v="0.99593750000000003"/>
  </r>
  <r>
    <x v="2"/>
    <x v="14"/>
    <n v="445"/>
    <n v="6400"/>
    <s v="May"/>
    <n v="5"/>
    <x v="4"/>
    <n v="5327"/>
    <n v="0.83234375000000005"/>
  </r>
  <r>
    <x v="2"/>
    <x v="14"/>
    <n v="445"/>
    <n v="6400"/>
    <s v="Jun"/>
    <n v="6"/>
    <x v="5"/>
    <n v="6868"/>
    <n v="1.0731250000000001"/>
  </r>
  <r>
    <x v="2"/>
    <x v="14"/>
    <n v="445"/>
    <n v="6400"/>
    <s v="Jul"/>
    <n v="7"/>
    <x v="6"/>
    <n v="4656"/>
    <n v="0.72750000000000004"/>
  </r>
  <r>
    <x v="2"/>
    <x v="14"/>
    <n v="445"/>
    <n v="6400"/>
    <s v="Aug"/>
    <n v="8"/>
    <x v="7"/>
    <n v="5423"/>
    <n v="0.84734374999999995"/>
  </r>
  <r>
    <x v="2"/>
    <x v="14"/>
    <n v="445"/>
    <n v="6400"/>
    <s v="Sep"/>
    <n v="9"/>
    <x v="8"/>
    <n v="6316"/>
    <n v="0.98687499999999995"/>
  </r>
  <r>
    <x v="2"/>
    <x v="14"/>
    <n v="445"/>
    <n v="6400"/>
    <s v="Oct"/>
    <n v="10"/>
    <x v="9"/>
    <n v="6376"/>
    <n v="0.99624999999999997"/>
  </r>
  <r>
    <x v="2"/>
    <x v="14"/>
    <n v="445"/>
    <n v="6400"/>
    <s v="Nov"/>
    <n v="11"/>
    <x v="10"/>
    <n v="6339"/>
    <n v="0.99046875000000001"/>
  </r>
  <r>
    <x v="2"/>
    <x v="14"/>
    <n v="445"/>
    <n v="6400"/>
    <s v="Dec"/>
    <n v="12"/>
    <x v="11"/>
    <n v="7680"/>
    <n v="1.2"/>
  </r>
  <r>
    <x v="2"/>
    <x v="15"/>
    <n v="218"/>
    <n v="400"/>
    <s v="Jan"/>
    <n v="1"/>
    <x v="0"/>
    <n v="63"/>
    <n v="0.1575"/>
  </r>
  <r>
    <x v="2"/>
    <x v="15"/>
    <n v="218"/>
    <n v="400"/>
    <s v="Feb"/>
    <n v="2"/>
    <x v="1"/>
    <n v="283"/>
    <n v="0.70750000000000002"/>
  </r>
  <r>
    <x v="2"/>
    <x v="15"/>
    <n v="218"/>
    <n v="400"/>
    <s v="Mar"/>
    <n v="3"/>
    <x v="2"/>
    <n v="471"/>
    <n v="1.1775"/>
  </r>
  <r>
    <x v="2"/>
    <x v="15"/>
    <n v="218"/>
    <n v="400"/>
    <s v="Apr"/>
    <n v="4"/>
    <x v="3"/>
    <n v="586"/>
    <n v="1.4650000000000001"/>
  </r>
  <r>
    <x v="2"/>
    <x v="15"/>
    <n v="218"/>
    <n v="400"/>
    <s v="May"/>
    <n v="5"/>
    <x v="4"/>
    <n v="424"/>
    <n v="1.06"/>
  </r>
  <r>
    <x v="2"/>
    <x v="15"/>
    <n v="218"/>
    <n v="400"/>
    <s v="Jun"/>
    <n v="6"/>
    <x v="5"/>
    <n v="411"/>
    <n v="1.0275000000000001"/>
  </r>
  <r>
    <x v="2"/>
    <x v="15"/>
    <n v="218"/>
    <n v="400"/>
    <s v="Jul"/>
    <n v="7"/>
    <x v="6"/>
    <n v="878"/>
    <n v="2.1949999999999998"/>
  </r>
  <r>
    <x v="2"/>
    <x v="15"/>
    <n v="218"/>
    <n v="400"/>
    <s v="Aug"/>
    <n v="8"/>
    <x v="7"/>
    <n v="526"/>
    <n v="1.3149999999999999"/>
  </r>
  <r>
    <x v="2"/>
    <x v="15"/>
    <n v="218"/>
    <n v="400"/>
    <s v="Sep"/>
    <n v="9"/>
    <x v="8"/>
    <n v="464"/>
    <n v="1.1599999999999999"/>
  </r>
  <r>
    <x v="2"/>
    <x v="15"/>
    <n v="218"/>
    <n v="400"/>
    <s v="Oct"/>
    <n v="10"/>
    <x v="9"/>
    <n v="374"/>
    <n v="0.93500000000000005"/>
  </r>
  <r>
    <x v="2"/>
    <x v="15"/>
    <n v="218"/>
    <n v="400"/>
    <s v="Nov"/>
    <n v="11"/>
    <x v="10"/>
    <n v="699"/>
    <n v="1.7475000000000001"/>
  </r>
  <r>
    <x v="2"/>
    <x v="15"/>
    <n v="218"/>
    <n v="400"/>
    <s v="Dec"/>
    <n v="12"/>
    <x v="11"/>
    <n v="738"/>
    <n v="1.845"/>
  </r>
  <r>
    <x v="2"/>
    <x v="16"/>
    <n v="471"/>
    <n v="2900"/>
    <s v="Jan"/>
    <n v="1"/>
    <x v="0"/>
    <n v="1019"/>
    <n v="0.351379310344828"/>
  </r>
  <r>
    <x v="2"/>
    <x v="16"/>
    <n v="471"/>
    <n v="2900"/>
    <s v="Feb"/>
    <n v="2"/>
    <x v="1"/>
    <n v="2047"/>
    <n v="0.70586206896551695"/>
  </r>
  <r>
    <x v="2"/>
    <x v="16"/>
    <n v="471"/>
    <n v="2900"/>
    <s v="Mar"/>
    <n v="3"/>
    <x v="2"/>
    <n v="2019"/>
    <n v="0.69620689655172396"/>
  </r>
  <r>
    <x v="2"/>
    <x v="16"/>
    <n v="471"/>
    <n v="2900"/>
    <s v="Apr"/>
    <n v="4"/>
    <x v="3"/>
    <n v="2351"/>
    <n v="0.81068965517241398"/>
  </r>
  <r>
    <x v="2"/>
    <x v="16"/>
    <n v="471"/>
    <n v="2900"/>
    <s v="May"/>
    <n v="5"/>
    <x v="4"/>
    <n v="2802"/>
    <n v="0.96620689655172398"/>
  </r>
  <r>
    <x v="2"/>
    <x v="16"/>
    <n v="471"/>
    <n v="2900"/>
    <s v="Jun"/>
    <n v="6"/>
    <x v="5"/>
    <n v="2630"/>
    <n v="0.90689655172413797"/>
  </r>
  <r>
    <x v="2"/>
    <x v="16"/>
    <n v="471"/>
    <n v="2900"/>
    <s v="Jul"/>
    <n v="7"/>
    <x v="6"/>
    <n v="3418"/>
    <n v="1.1786206896551701"/>
  </r>
  <r>
    <x v="2"/>
    <x v="16"/>
    <n v="471"/>
    <n v="2900"/>
    <s v="Aug"/>
    <n v="8"/>
    <x v="7"/>
    <n v="3619"/>
    <n v="1.2479310344827601"/>
  </r>
  <r>
    <x v="2"/>
    <x v="16"/>
    <n v="471"/>
    <n v="2900"/>
    <s v="Sep"/>
    <n v="9"/>
    <x v="8"/>
    <n v="3639"/>
    <n v="1.2548275862069"/>
  </r>
  <r>
    <x v="2"/>
    <x v="16"/>
    <n v="471"/>
    <n v="2900"/>
    <s v="Oct"/>
    <n v="10"/>
    <x v="9"/>
    <n v="4287"/>
    <n v="1.47827586206897"/>
  </r>
  <r>
    <x v="2"/>
    <x v="16"/>
    <n v="471"/>
    <n v="2900"/>
    <s v="Nov"/>
    <n v="11"/>
    <x v="10"/>
    <n v="3724"/>
    <n v="1.28413793103448"/>
  </r>
  <r>
    <x v="2"/>
    <x v="16"/>
    <n v="471"/>
    <n v="2900"/>
    <s v="Dec"/>
    <n v="12"/>
    <x v="11"/>
    <n v="3478"/>
    <n v="1.19931034482758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428930-2474-4ECC-A4FF-3A74C950DF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B18" firstHeaderRow="1" firstDataRow="1" firstDataCol="1"/>
  <pivotFields count="9">
    <pivotField showAll="0">
      <items count="7">
        <item x="0"/>
        <item x="1"/>
        <item x="2"/>
        <item m="1" x="3"/>
        <item m="1" x="4"/>
        <item m="1" x="5"/>
        <item t="default"/>
      </items>
    </pivotField>
    <pivotField showAll="0"/>
    <pivotField showAll="0"/>
    <pivotField showAll="0"/>
    <pivotField showAll="0"/>
    <pivotField showAll="0"/>
    <pivotField axis="axisRow"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dataField="1" showAll="0"/>
    <pivotField showAll="0"/>
  </pivotFields>
  <rowFields count="1">
    <field x="6"/>
  </rowFields>
  <rowItems count="13">
    <i>
      <x v="12"/>
    </i>
    <i>
      <x v="13"/>
    </i>
    <i>
      <x v="14"/>
    </i>
    <i>
      <x v="15"/>
    </i>
    <i>
      <x v="16"/>
    </i>
    <i>
      <x v="17"/>
    </i>
    <i>
      <x v="18"/>
    </i>
    <i>
      <x v="19"/>
    </i>
    <i>
      <x v="20"/>
    </i>
    <i>
      <x v="21"/>
    </i>
    <i>
      <x v="22"/>
    </i>
    <i>
      <x v="23"/>
    </i>
    <i t="grand">
      <x/>
    </i>
  </rowItems>
  <colItems count="1">
    <i/>
  </colItems>
  <dataFields count="1">
    <dataField name="Sum of Sales" fld="7" baseField="0" baseItem="0"/>
  </dataFields>
  <chartFormats count="3">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577057-876A-4166-AE56-FA2F4CB901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23:E37" firstHeaderRow="1" firstDataRow="2" firstDataCol="1" rowPageCount="1" colPageCount="1"/>
  <pivotFields count="9">
    <pivotField axis="axisCol" showAll="0">
      <items count="7">
        <item x="0"/>
        <item x="1"/>
        <item x="2"/>
        <item m="1" x="3"/>
        <item m="1" x="4"/>
        <item m="1" x="5"/>
        <item t="default"/>
      </items>
    </pivotField>
    <pivotField axis="axisPage" showAll="0">
      <items count="18">
        <item x="0"/>
        <item x="1"/>
        <item x="2"/>
        <item x="11"/>
        <item x="3"/>
        <item x="4"/>
        <item x="12"/>
        <item x="5"/>
        <item x="6"/>
        <item x="13"/>
        <item x="8"/>
        <item x="9"/>
        <item x="14"/>
        <item x="15"/>
        <item x="7"/>
        <item x="10"/>
        <item x="16"/>
        <item t="default"/>
      </items>
    </pivotField>
    <pivotField showAll="0"/>
    <pivotField showAll="0"/>
    <pivotField showAll="0"/>
    <pivotField showAll="0"/>
    <pivotField axis="axisRow" showAll="0">
      <items count="25">
        <item x="0"/>
        <item x="1"/>
        <item x="2"/>
        <item x="3"/>
        <item x="4"/>
        <item x="5"/>
        <item x="6"/>
        <item x="7"/>
        <item x="8"/>
        <item x="9"/>
        <item x="10"/>
        <item x="11"/>
        <item m="1" x="19"/>
        <item m="1" x="15"/>
        <item m="1" x="23"/>
        <item m="1" x="13"/>
        <item m="1" x="12"/>
        <item m="1" x="17"/>
        <item m="1" x="18"/>
        <item m="1" x="16"/>
        <item m="1" x="14"/>
        <item m="1" x="22"/>
        <item m="1" x="21"/>
        <item m="1" x="20"/>
        <item t="default"/>
      </items>
    </pivotField>
    <pivotField dataField="1" showAll="0"/>
    <pivotField showAll="0"/>
  </pivotFields>
  <rowFields count="1">
    <field x="6"/>
  </rowFields>
  <rowItems count="13">
    <i>
      <x/>
    </i>
    <i>
      <x v="1"/>
    </i>
    <i>
      <x v="2"/>
    </i>
    <i>
      <x v="3"/>
    </i>
    <i>
      <x v="4"/>
    </i>
    <i>
      <x v="5"/>
    </i>
    <i>
      <x v="6"/>
    </i>
    <i>
      <x v="7"/>
    </i>
    <i>
      <x v="8"/>
    </i>
    <i>
      <x v="9"/>
    </i>
    <i>
      <x v="10"/>
    </i>
    <i>
      <x v="11"/>
    </i>
    <i t="grand">
      <x/>
    </i>
  </rowItems>
  <colFields count="1">
    <field x="0"/>
  </colFields>
  <colItems count="4">
    <i>
      <x/>
    </i>
    <i>
      <x v="1"/>
    </i>
    <i>
      <x v="2"/>
    </i>
    <i t="grand">
      <x/>
    </i>
  </colItems>
  <pageFields count="1">
    <pageField fld="1" hier="-1"/>
  </pageFields>
  <dataFields count="1">
    <dataField name="Sum of Sales" fld="7" baseField="0" baseItem="0"/>
  </dataFields>
  <formats count="1">
    <format dxfId="14">
      <pivotArea collapsedLevelsAreSubtotals="1" fieldPosition="0">
        <references count="1">
          <reference field="6" count="0"/>
        </references>
      </pivotArea>
    </format>
  </formats>
  <chartFormats count="23">
    <chartFormat chart="0" format="209" series="1">
      <pivotArea type="data" outline="0" fieldPosition="0">
        <references count="1">
          <reference field="4294967294" count="1" selected="0">
            <x v="0"/>
          </reference>
        </references>
      </pivotArea>
    </chartFormat>
    <chartFormat chart="0" format="211" series="1">
      <pivotArea type="data" outline="0" fieldPosition="0">
        <references count="2">
          <reference field="4294967294" count="1" selected="0">
            <x v="0"/>
          </reference>
          <reference field="1" count="1" selected="0">
            <x v="2"/>
          </reference>
        </references>
      </pivotArea>
    </chartFormat>
    <chartFormat chart="0" format="212" series="1">
      <pivotArea type="data" outline="0" fieldPosition="0">
        <references count="2">
          <reference field="4294967294" count="1" selected="0">
            <x v="0"/>
          </reference>
          <reference field="1" count="1" selected="0">
            <x v="3"/>
          </reference>
        </references>
      </pivotArea>
    </chartFormat>
    <chartFormat chart="0" format="213" series="1">
      <pivotArea type="data" outline="0" fieldPosition="0">
        <references count="2">
          <reference field="4294967294" count="1" selected="0">
            <x v="0"/>
          </reference>
          <reference field="1" count="1" selected="0">
            <x v="4"/>
          </reference>
        </references>
      </pivotArea>
    </chartFormat>
    <chartFormat chart="0" format="214" series="1">
      <pivotArea type="data" outline="0" fieldPosition="0">
        <references count="2">
          <reference field="4294967294" count="1" selected="0">
            <x v="0"/>
          </reference>
          <reference field="1" count="1" selected="0">
            <x v="5"/>
          </reference>
        </references>
      </pivotArea>
    </chartFormat>
    <chartFormat chart="0" format="215" series="1">
      <pivotArea type="data" outline="0" fieldPosition="0">
        <references count="2">
          <reference field="4294967294" count="1" selected="0">
            <x v="0"/>
          </reference>
          <reference field="1" count="1" selected="0">
            <x v="6"/>
          </reference>
        </references>
      </pivotArea>
    </chartFormat>
    <chartFormat chart="0" format="216" series="1">
      <pivotArea type="data" outline="0" fieldPosition="0">
        <references count="2">
          <reference field="4294967294" count="1" selected="0">
            <x v="0"/>
          </reference>
          <reference field="1" count="1" selected="0">
            <x v="7"/>
          </reference>
        </references>
      </pivotArea>
    </chartFormat>
    <chartFormat chart="0" format="217" series="1">
      <pivotArea type="data" outline="0" fieldPosition="0">
        <references count="2">
          <reference field="4294967294" count="1" selected="0">
            <x v="0"/>
          </reference>
          <reference field="1" count="1" selected="0">
            <x v="8"/>
          </reference>
        </references>
      </pivotArea>
    </chartFormat>
    <chartFormat chart="0" format="218" series="1">
      <pivotArea type="data" outline="0" fieldPosition="0">
        <references count="2">
          <reference field="4294967294" count="1" selected="0">
            <x v="0"/>
          </reference>
          <reference field="1" count="1" selected="0">
            <x v="9"/>
          </reference>
        </references>
      </pivotArea>
    </chartFormat>
    <chartFormat chart="0" format="219" series="1">
      <pivotArea type="data" outline="0" fieldPosition="0">
        <references count="2">
          <reference field="4294967294" count="1" selected="0">
            <x v="0"/>
          </reference>
          <reference field="1" count="1" selected="0">
            <x v="10"/>
          </reference>
        </references>
      </pivotArea>
    </chartFormat>
    <chartFormat chart="0" format="220" series="1">
      <pivotArea type="data" outline="0" fieldPosition="0">
        <references count="2">
          <reference field="4294967294" count="1" selected="0">
            <x v="0"/>
          </reference>
          <reference field="1" count="1" selected="0">
            <x v="11"/>
          </reference>
        </references>
      </pivotArea>
    </chartFormat>
    <chartFormat chart="0" format="221" series="1">
      <pivotArea type="data" outline="0" fieldPosition="0">
        <references count="2">
          <reference field="4294967294" count="1" selected="0">
            <x v="0"/>
          </reference>
          <reference field="1" count="1" selected="0">
            <x v="12"/>
          </reference>
        </references>
      </pivotArea>
    </chartFormat>
    <chartFormat chart="0" format="222" series="1">
      <pivotArea type="data" outline="0" fieldPosition="0">
        <references count="2">
          <reference field="4294967294" count="1" selected="0">
            <x v="0"/>
          </reference>
          <reference field="1" count="1" selected="0">
            <x v="13"/>
          </reference>
        </references>
      </pivotArea>
    </chartFormat>
    <chartFormat chart="0" format="223" series="1">
      <pivotArea type="data" outline="0" fieldPosition="0">
        <references count="2">
          <reference field="4294967294" count="1" selected="0">
            <x v="0"/>
          </reference>
          <reference field="1" count="1" selected="0">
            <x v="14"/>
          </reference>
        </references>
      </pivotArea>
    </chartFormat>
    <chartFormat chart="0" format="224" series="1">
      <pivotArea type="data" outline="0" fieldPosition="0">
        <references count="2">
          <reference field="4294967294" count="1" selected="0">
            <x v="0"/>
          </reference>
          <reference field="1" count="1" selected="0">
            <x v="15"/>
          </reference>
        </references>
      </pivotArea>
    </chartFormat>
    <chartFormat chart="0" format="225" series="1">
      <pivotArea type="data" outline="0" fieldPosition="0">
        <references count="2">
          <reference field="4294967294" count="1" selected="0">
            <x v="0"/>
          </reference>
          <reference field="1" count="1" selected="0">
            <x v="16"/>
          </reference>
        </references>
      </pivotArea>
    </chartFormat>
    <chartFormat chart="0" format="226" series="1">
      <pivotArea type="data" outline="0" fieldPosition="0">
        <references count="2">
          <reference field="4294967294" count="1" selected="0">
            <x v="0"/>
          </reference>
          <reference field="0" count="1" selected="0">
            <x v="2"/>
          </reference>
        </references>
      </pivotArea>
    </chartFormat>
    <chartFormat chart="0" format="227" series="1">
      <pivotArea type="data" outline="0" fieldPosition="0">
        <references count="2">
          <reference field="4294967294" count="1" selected="0">
            <x v="0"/>
          </reference>
          <reference field="0" count="1" selected="0">
            <x v="1"/>
          </reference>
        </references>
      </pivotArea>
    </chartFormat>
    <chartFormat chart="0" format="228" series="1">
      <pivotArea type="data" outline="0" fieldPosition="0">
        <references count="2">
          <reference field="4294967294" count="1" selected="0">
            <x v="0"/>
          </reference>
          <reference field="0" count="1" selected="0">
            <x v="0"/>
          </reference>
        </references>
      </pivotArea>
    </chartFormat>
    <chartFormat chart="13" format="235" series="1">
      <pivotArea type="data" outline="0" fieldPosition="0">
        <references count="2">
          <reference field="4294967294" count="1" selected="0">
            <x v="0"/>
          </reference>
          <reference field="0" count="1" selected="0">
            <x v="1"/>
          </reference>
        </references>
      </pivotArea>
    </chartFormat>
    <chartFormat chart="13" format="236" series="1">
      <pivotArea type="data" outline="0" fieldPosition="0">
        <references count="2">
          <reference field="4294967294" count="1" selected="0">
            <x v="0"/>
          </reference>
          <reference field="0" count="1" selected="0">
            <x v="0"/>
          </reference>
        </references>
      </pivotArea>
    </chartFormat>
    <chartFormat chart="13" format="237" series="1">
      <pivotArea type="data" outline="0" fieldPosition="0">
        <references count="2">
          <reference field="4294967294" count="1" selected="0">
            <x v="0"/>
          </reference>
          <reference field="0" count="1" selected="0">
            <x v="2"/>
          </reference>
        </references>
      </pivotArea>
    </chartFormat>
    <chartFormat chart="13" format="23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859B61-FA14-4D28-9697-3866142774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59:B77" firstHeaderRow="1" firstDataRow="1" firstDataCol="1"/>
  <pivotFields count="9">
    <pivotField showAll="0">
      <items count="7">
        <item x="0"/>
        <item x="1"/>
        <item x="2"/>
        <item m="1" x="3"/>
        <item m="1" x="4"/>
        <item m="1" x="5"/>
        <item t="default"/>
      </items>
    </pivotField>
    <pivotField axis="axisRow" showAll="0">
      <items count="18">
        <item x="0"/>
        <item x="1"/>
        <item x="2"/>
        <item x="11"/>
        <item x="3"/>
        <item x="4"/>
        <item x="12"/>
        <item x="5"/>
        <item x="6"/>
        <item x="13"/>
        <item x="8"/>
        <item x="9"/>
        <item x="14"/>
        <item x="15"/>
        <item x="7"/>
        <item x="10"/>
        <item x="16"/>
        <item t="default"/>
      </items>
    </pivotField>
    <pivotField showAll="0"/>
    <pivotField showAll="0"/>
    <pivotField showAll="0"/>
    <pivotField showAll="0"/>
    <pivotField showAll="0">
      <items count="25">
        <item x="0"/>
        <item x="1"/>
        <item x="2"/>
        <item x="3"/>
        <item x="4"/>
        <item x="5"/>
        <item x="6"/>
        <item x="7"/>
        <item x="8"/>
        <item x="9"/>
        <item x="10"/>
        <item x="11"/>
        <item m="1" x="19"/>
        <item m="1" x="15"/>
        <item m="1" x="23"/>
        <item m="1" x="13"/>
        <item m="1" x="12"/>
        <item m="1" x="17"/>
        <item m="1" x="18"/>
        <item m="1" x="16"/>
        <item m="1" x="14"/>
        <item m="1" x="22"/>
        <item m="1" x="21"/>
        <item m="1" x="20"/>
        <item t="default"/>
      </items>
    </pivotField>
    <pivotField showAll="0"/>
    <pivotField dataField="1"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Average of % Target Achieved" fld="8" subtotal="average" baseField="1" baseItem="0"/>
  </dataFields>
  <chartFormats count="2">
    <chartFormat chart="6"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887135-5005-478A-8A83-AC820AD33C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24" firstHeaderRow="1" firstDataRow="1" firstDataCol="1"/>
  <pivotFields count="9">
    <pivotField axis="axisRow" showAll="0">
      <items count="7">
        <item x="0"/>
        <item x="1"/>
        <item x="2"/>
        <item m="1" x="3"/>
        <item m="1" x="4"/>
        <item m="1" x="5"/>
        <item t="default"/>
      </items>
    </pivotField>
    <pivotField axis="axisRow" showAll="0">
      <items count="18">
        <item x="0"/>
        <item x="1"/>
        <item x="2"/>
        <item x="11"/>
        <item x="3"/>
        <item x="4"/>
        <item x="12"/>
        <item x="5"/>
        <item x="6"/>
        <item x="13"/>
        <item x="8"/>
        <item x="9"/>
        <item x="14"/>
        <item x="15"/>
        <item x="7"/>
        <item x="10"/>
        <item x="16"/>
        <item t="default"/>
      </items>
    </pivotField>
    <pivotField showAll="0"/>
    <pivotField showAll="0"/>
    <pivotField showAll="0"/>
    <pivotField showAll="0"/>
    <pivotField showAll="0">
      <items count="25">
        <item x="0"/>
        <item x="1"/>
        <item x="2"/>
        <item x="3"/>
        <item x="4"/>
        <item x="5"/>
        <item x="6"/>
        <item x="7"/>
        <item x="8"/>
        <item x="9"/>
        <item x="10"/>
        <item x="11"/>
        <item m="1" x="19"/>
        <item m="1" x="15"/>
        <item m="1" x="23"/>
        <item m="1" x="13"/>
        <item m="1" x="12"/>
        <item m="1" x="17"/>
        <item m="1" x="18"/>
        <item m="1" x="16"/>
        <item m="1" x="14"/>
        <item m="1" x="22"/>
        <item m="1" x="21"/>
        <item m="1" x="20"/>
        <item t="default"/>
      </items>
    </pivotField>
    <pivotField dataField="1" showAll="0"/>
    <pivotField showAll="0"/>
  </pivotFields>
  <rowFields count="2">
    <field x="0"/>
    <field x="1"/>
  </rowFields>
  <rowItems count="21">
    <i>
      <x/>
    </i>
    <i r="1">
      <x/>
    </i>
    <i r="1">
      <x v="1"/>
    </i>
    <i r="1">
      <x v="2"/>
    </i>
    <i r="1">
      <x v="4"/>
    </i>
    <i r="1">
      <x v="5"/>
    </i>
    <i r="1">
      <x v="7"/>
    </i>
    <i r="1">
      <x v="8"/>
    </i>
    <i r="1">
      <x v="14"/>
    </i>
    <i>
      <x v="1"/>
    </i>
    <i r="1">
      <x v="10"/>
    </i>
    <i r="1">
      <x v="11"/>
    </i>
    <i r="1">
      <x v="15"/>
    </i>
    <i>
      <x v="2"/>
    </i>
    <i r="1">
      <x v="3"/>
    </i>
    <i r="1">
      <x v="6"/>
    </i>
    <i r="1">
      <x v="9"/>
    </i>
    <i r="1">
      <x v="12"/>
    </i>
    <i r="1">
      <x v="13"/>
    </i>
    <i r="1">
      <x v="16"/>
    </i>
    <i t="grand">
      <x/>
    </i>
  </rowItems>
  <colItems count="1">
    <i/>
  </colItems>
  <dataFields count="1">
    <dataField name="Sum of Sales" fld="7" baseField="0" baseItem="0" numFmtId="168"/>
  </dataFields>
  <formats count="1">
    <format dxfId="13">
      <pivotArea outline="0" collapsedLevelsAreSubtotals="1" fieldPosition="0"/>
    </format>
  </formats>
  <chartFormats count="1">
    <chartFormat chart="0"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D28515-6285-49F2-9441-DD344D503A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9">
    <pivotField showAll="0">
      <items count="7">
        <item x="0"/>
        <item x="1"/>
        <item x="2"/>
        <item m="1" x="3"/>
        <item m="1" x="4"/>
        <item m="1" x="5"/>
        <item t="default"/>
      </items>
    </pivotField>
    <pivotField axis="axisRow" showAll="0" measureFilter="1" sortType="descending">
      <items count="18">
        <item x="0"/>
        <item x="1"/>
        <item x="2"/>
        <item x="11"/>
        <item x="3"/>
        <item x="4"/>
        <item x="12"/>
        <item x="5"/>
        <item x="6"/>
        <item x="13"/>
        <item x="8"/>
        <item x="9"/>
        <item x="14"/>
        <item x="15"/>
        <item x="7"/>
        <item x="10"/>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5">
        <item x="0"/>
        <item x="1"/>
        <item x="2"/>
        <item x="3"/>
        <item x="4"/>
        <item x="5"/>
        <item x="6"/>
        <item x="7"/>
        <item x="8"/>
        <item x="9"/>
        <item x="10"/>
        <item x="11"/>
        <item m="1" x="19"/>
        <item m="1" x="15"/>
        <item m="1" x="23"/>
        <item m="1" x="13"/>
        <item m="1" x="12"/>
        <item m="1" x="17"/>
        <item m="1" x="18"/>
        <item m="1" x="16"/>
        <item m="1" x="14"/>
        <item m="1" x="22"/>
        <item m="1" x="21"/>
        <item m="1" x="20"/>
        <item t="default"/>
      </items>
    </pivotField>
    <pivotField dataField="1" showAll="0"/>
    <pivotField showAll="0"/>
  </pivotFields>
  <rowFields count="1">
    <field x="1"/>
  </rowFields>
  <rowItems count="6">
    <i>
      <x v="10"/>
    </i>
    <i>
      <x v="11"/>
    </i>
    <i>
      <x v="15"/>
    </i>
    <i>
      <x v="14"/>
    </i>
    <i>
      <x v="7"/>
    </i>
    <i t="grand">
      <x/>
    </i>
  </rowItems>
  <colItems count="1">
    <i/>
  </colItems>
  <dataFields count="1">
    <dataField name="Sum of Sales" fld="7" baseField="0" baseItem="0" numFmtId="164"/>
  </dataFields>
  <formats count="2">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937F98-8C45-48D1-AD50-0822CECA0A1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E23" firstHeaderRow="0" firstDataRow="1" firstDataCol="1"/>
  <pivotFields count="9">
    <pivotField axis="axisRow" showAll="0">
      <items count="7">
        <item x="0"/>
        <item x="1"/>
        <item x="2"/>
        <item m="1" x="3"/>
        <item m="1" x="4"/>
        <item m="1" x="5"/>
        <item t="default"/>
      </items>
    </pivotField>
    <pivotField axis="axisRow" showAll="0">
      <items count="18">
        <item x="0"/>
        <item x="1"/>
        <item x="2"/>
        <item x="11"/>
        <item x="3"/>
        <item x="4"/>
        <item x="12"/>
        <item x="5"/>
        <item x="6"/>
        <item x="13"/>
        <item x="8"/>
        <item x="9"/>
        <item x="14"/>
        <item x="15"/>
        <item x="7"/>
        <item x="10"/>
        <item x="16"/>
        <item t="default"/>
      </items>
    </pivotField>
    <pivotField showAll="0"/>
    <pivotField dataField="1" showAll="0"/>
    <pivotField showAll="0"/>
    <pivotField showAll="0"/>
    <pivotField showAll="0">
      <items count="25">
        <item x="0"/>
        <item x="1"/>
        <item x="2"/>
        <item x="3"/>
        <item x="4"/>
        <item x="5"/>
        <item x="6"/>
        <item x="7"/>
        <item x="8"/>
        <item x="9"/>
        <item x="10"/>
        <item x="11"/>
        <item m="1" x="19"/>
        <item m="1" x="15"/>
        <item m="1" x="23"/>
        <item m="1" x="13"/>
        <item m="1" x="12"/>
        <item m="1" x="17"/>
        <item m="1" x="18"/>
        <item m="1" x="16"/>
        <item m="1" x="14"/>
        <item m="1" x="22"/>
        <item m="1" x="21"/>
        <item m="1" x="20"/>
        <item t="default"/>
      </items>
    </pivotField>
    <pivotField dataField="1" showAll="0"/>
    <pivotField dataField="1" showAll="0"/>
  </pivotFields>
  <rowFields count="2">
    <field x="0"/>
    <field x="1"/>
  </rowFields>
  <rowItems count="20">
    <i>
      <x/>
    </i>
    <i r="1">
      <x/>
    </i>
    <i r="1">
      <x v="1"/>
    </i>
    <i r="1">
      <x v="2"/>
    </i>
    <i r="1">
      <x v="4"/>
    </i>
    <i r="1">
      <x v="5"/>
    </i>
    <i r="1">
      <x v="7"/>
    </i>
    <i r="1">
      <x v="8"/>
    </i>
    <i r="1">
      <x v="14"/>
    </i>
    <i>
      <x v="1"/>
    </i>
    <i r="1">
      <x v="10"/>
    </i>
    <i r="1">
      <x v="11"/>
    </i>
    <i r="1">
      <x v="15"/>
    </i>
    <i>
      <x v="2"/>
    </i>
    <i r="1">
      <x v="3"/>
    </i>
    <i r="1">
      <x v="6"/>
    </i>
    <i r="1">
      <x v="9"/>
    </i>
    <i r="1">
      <x v="12"/>
    </i>
    <i r="1">
      <x v="13"/>
    </i>
    <i r="1">
      <x v="16"/>
    </i>
  </rowItems>
  <colFields count="1">
    <field x="-2"/>
  </colFields>
  <colItems count="3">
    <i>
      <x/>
    </i>
    <i i="1">
      <x v="1"/>
    </i>
    <i i="2">
      <x v="2"/>
    </i>
  </colItems>
  <dataFields count="3">
    <dataField name="Sum of Sales" fld="7" baseField="0" baseItem="0"/>
    <dataField name="Average of Monthly Target" fld="3" subtotal="average" baseField="0" baseItem="0"/>
    <dataField name="Average of % Target Achieved" fld="8" subtotal="average" baseField="0" baseItem="0"/>
  </dataFields>
  <conditionalFormats count="4">
    <conditionalFormat type="all" priority="4">
      <pivotAreas count="1">
        <pivotArea type="data" collapsedLevelsAreSubtotals="1" fieldPosition="0">
          <references count="3">
            <reference field="4294967294" count="1" selected="0">
              <x v="0"/>
            </reference>
            <reference field="0" count="1" selected="0">
              <x v="0"/>
            </reference>
            <reference field="1" count="8">
              <x v="0"/>
              <x v="1"/>
              <x v="2"/>
              <x v="4"/>
              <x v="5"/>
              <x v="7"/>
              <x v="8"/>
              <x v="14"/>
            </reference>
          </references>
        </pivotArea>
      </pivotAreas>
    </conditionalFormat>
    <conditionalFormat type="all" priority="3">
      <pivotAreas count="1">
        <pivotArea type="data" collapsedLevelsAreSubtotals="1" fieldPosition="0">
          <references count="3">
            <reference field="4294967294" count="1" selected="0">
              <x v="0"/>
            </reference>
            <reference field="0" count="1" selected="0">
              <x v="1"/>
            </reference>
            <reference field="1" count="3">
              <x v="10"/>
              <x v="11"/>
              <x v="15"/>
            </reference>
          </references>
        </pivotArea>
      </pivotAreas>
    </conditionalFormat>
    <conditionalFormat type="all" priority="2">
      <pivotAreas count="1">
        <pivotArea type="data" collapsedLevelsAreSubtotals="1" fieldPosition="0">
          <references count="3">
            <reference field="4294967294" count="1" selected="0">
              <x v="0"/>
            </reference>
            <reference field="0" count="1" selected="0">
              <x v="2"/>
            </reference>
            <reference field="1" count="6">
              <x v="3"/>
              <x v="6"/>
              <x v="9"/>
              <x v="12"/>
              <x v="13"/>
              <x v="16"/>
            </reference>
          </references>
        </pivotArea>
      </pivotAreas>
    </conditionalFormat>
    <conditionalFormat priority="1">
      <pivotAreas count="3">
        <pivotArea type="data" collapsedLevelsAreSubtotals="1" fieldPosition="0">
          <references count="3">
            <reference field="4294967294" count="1" selected="0">
              <x v="2"/>
            </reference>
            <reference field="0" count="1" selected="0">
              <x v="0"/>
            </reference>
            <reference field="1" count="8">
              <x v="0"/>
              <x v="1"/>
              <x v="2"/>
              <x v="4"/>
              <x v="5"/>
              <x v="7"/>
              <x v="8"/>
              <x v="14"/>
            </reference>
          </references>
        </pivotArea>
        <pivotArea type="data" collapsedLevelsAreSubtotals="1" fieldPosition="0">
          <references count="3">
            <reference field="4294967294" count="1" selected="0">
              <x v="2"/>
            </reference>
            <reference field="0" count="1" selected="0">
              <x v="1"/>
            </reference>
            <reference field="1" count="3">
              <x v="10"/>
              <x v="11"/>
              <x v="15"/>
            </reference>
          </references>
        </pivotArea>
        <pivotArea type="data" collapsedLevelsAreSubtotals="1" fieldPosition="0">
          <references count="3">
            <reference field="4294967294" count="1" selected="0">
              <x v="2"/>
            </reference>
            <reference field="0" count="1" selected="0">
              <x v="2"/>
            </reference>
            <reference field="1" count="6">
              <x v="3"/>
              <x v="6"/>
              <x v="9"/>
              <x v="12"/>
              <x v="13"/>
              <x v="16"/>
            </reference>
          </references>
        </pivotArea>
      </pivotAreas>
    </conditionalFormat>
  </conditionalFormats>
  <pivotTableStyleInfo name="PivotStyleLight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6CFF6E-AF31-4BBD-BDCF-F63DBA4EC08D}" autoFormatId="16" applyNumberFormats="0" applyBorderFormats="0" applyFontFormats="0" applyPatternFormats="0" applyAlignmentFormats="0" applyWidthHeightFormats="0">
  <queryTableRefresh nextId="13">
    <queryTableFields count="9">
      <queryTableField id="1" name="Category" tableColumnId="1"/>
      <queryTableField id="2" name="Subcategory" tableColumnId="2"/>
      <queryTableField id="3" name="ProductKey" tableColumnId="3"/>
      <queryTableField id="4" name="Monthly Target" tableColumnId="4"/>
      <queryTableField id="5" name="Attribute" tableColumnId="5"/>
      <queryTableField id="10" name="Month number" tableColumnId="8"/>
      <queryTableField id="12" dataBound="0" tableColumnId="9"/>
      <queryTableField id="6" name="Sales" tableColumnId="6"/>
      <queryTableField id="7" name="% Target Achieve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2A553A3-F878-4628-9847-5CF75D4E2ABB}" sourceName="Month">
  <pivotTables>
    <pivotTable tabId="6" name="PivotTable3"/>
    <pivotTable tabId="4" name="PivotTable1"/>
    <pivotTable tabId="4" name="PivotTable4"/>
    <pivotTable tabId="3" name="PivotTable5"/>
    <pivotTable tabId="7" name="PivotTable6"/>
    <pivotTable tabId="6" name="PivotTable1"/>
  </pivotTables>
  <data>
    <tabular pivotCacheId="2086981825">
      <items count="24">
        <i x="0" s="1"/>
        <i x="1" s="1"/>
        <i x="2" s="1"/>
        <i x="3" s="1"/>
        <i x="4" s="1"/>
        <i x="5" s="1"/>
        <i x="6" s="1"/>
        <i x="7" s="1"/>
        <i x="8" s="1"/>
        <i x="9" s="1"/>
        <i x="10" s="1"/>
        <i x="11" s="1"/>
        <i x="19" s="1" nd="1"/>
        <i x="15" s="1" nd="1"/>
        <i x="23" s="1" nd="1"/>
        <i x="13" s="1" nd="1"/>
        <i x="12" s="1" nd="1"/>
        <i x="17" s="1" nd="1"/>
        <i x="18" s="1" nd="1"/>
        <i x="16" s="1" nd="1"/>
        <i x="14" s="1" nd="1"/>
        <i x="22" s="1" nd="1"/>
        <i x="21" s="1" nd="1"/>
        <i x="2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5349AB-9321-45D9-B737-C230D3E0A068}" sourceName="Category">
  <pivotTables>
    <pivotTable tabId="4" name="PivotTable1"/>
    <pivotTable tabId="3" name="PivotTable5"/>
    <pivotTable tabId="4" name="PivotTable4"/>
    <pivotTable tabId="7" name="PivotTable6"/>
    <pivotTable tabId="6" name="PivotTable1"/>
  </pivotTables>
  <data>
    <tabular pivotCacheId="2086981825">
      <items count="6">
        <i x="0" s="1"/>
        <i x="1" s="1"/>
        <i x="2" s="1"/>
        <i x="3" s="1" nd="1"/>
        <i x="4"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10075CA6-CB93-4ECF-8785-348F2B717B54}" cache="Slicer_Month" caption="Month" columnCount="3" style="SlicerStyleDark2" rowHeight="234950"/>
  <slicer name="Category 1" xr10:uid="{DF5AD938-4A13-4788-A10F-B154D6458EC8}" cache="Slicer_Category" caption="Category"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90EEE0E-C79E-41EA-8F75-CBA4CACD0B4A}"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0A701B5-74FC-4B72-9EB1-F6A2ADE6C035}"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DE78BE-CA62-4C62-AEA5-73AF0EEA0362}" name="Sales_Summary" displayName="Sales_Summary" ref="A3:I207" tableType="queryTable" totalsRowShown="0">
  <autoFilter ref="A3:I207" xr:uid="{AFDE78BE-CA62-4C62-AEA5-73AF0EEA0362}"/>
  <tableColumns count="9">
    <tableColumn id="1" xr3:uid="{632A5FEA-12CF-4EDF-A677-3C8F3CE08D18}" uniqueName="1" name="Category" queryTableFieldId="1" dataDxfId="20"/>
    <tableColumn id="2" xr3:uid="{BA6D02A4-D89D-4A62-9B92-957EFE186073}" uniqueName="2" name="Subcategory" queryTableFieldId="2" dataDxfId="19"/>
    <tableColumn id="3" xr3:uid="{9486BE90-84BF-4467-A437-60C9F6EDB701}" uniqueName="3" name="ProductKey" queryTableFieldId="3"/>
    <tableColumn id="4" xr3:uid="{88165731-9CA1-4F1F-8A12-6A2078D2130F}" uniqueName="4" name="Monthly Target" queryTableFieldId="4"/>
    <tableColumn id="5" xr3:uid="{7E0493CA-9706-4A55-9564-A4C5095C5987}" uniqueName="5" name="Attribute" queryTableFieldId="5" dataDxfId="18"/>
    <tableColumn id="8" xr3:uid="{66851BB2-ECE7-4C22-A814-E6D3C534F9FD}" uniqueName="8" name="Month number" queryTableFieldId="10"/>
    <tableColumn id="9" xr3:uid="{050294EA-F927-4910-BC91-2A0167DE49DE}" uniqueName="9" name="Month" queryTableFieldId="12" dataDxfId="17">
      <calculatedColumnFormula>TEXT(DATE(2000,Sales_Summary[[#This Row],[Month number]], 1), "mmmm")</calculatedColumnFormula>
    </tableColumn>
    <tableColumn id="6" xr3:uid="{32C5A6B6-01EB-43A2-A454-253712B18FC6}" uniqueName="6" name="Sales" queryTableFieldId="6" dataDxfId="16"/>
    <tableColumn id="7" xr3:uid="{DE112A21-4084-4077-BEC5-A3366CAAF765}" uniqueName="7" name="% Target Achieved" queryTableFieldId="7" dataDxfId="15" dataCellStyle="Percen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1B36C0-6210-4B53-ABC4-72ED44D67522}" name="Table2" displayName="Table2" ref="A27:B48" totalsRowShown="0">
  <autoFilter ref="A27:B48" xr:uid="{381B36C0-6210-4B53-ABC4-72ED44D67522}"/>
  <tableColumns count="2">
    <tableColumn id="1" xr3:uid="{C2C85E45-4B8E-43BD-9819-B552C52D859A}" name="Row Labels"/>
    <tableColumn id="2" xr3:uid="{3652AD1B-D65D-491F-8729-F7C332C0DAEE}" name="Sum of Sal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83307D-8F00-42CF-B7EF-6635ECD31164}" name="Table3" displayName="Table3" ref="D28:F44" totalsRowShown="0" headerRowBorderDxfId="11" tableBorderDxfId="10" totalsRowBorderDxfId="9">
  <autoFilter ref="D28:F44" xr:uid="{F383307D-8F00-42CF-B7EF-6635ECD31164}"/>
  <tableColumns count="3">
    <tableColumn id="1" xr3:uid="{D518374C-A0D7-4117-8532-28C68AFDF9A8}" name="Accessories" dataDxfId="8"/>
    <tableColumn id="2" xr3:uid="{2254916A-B4FC-4266-815A-3B9A3772F830}" name="Bike Racks" dataDxfId="7"/>
    <tableColumn id="3" xr3:uid="{26A737CC-AF93-4E93-9159-2207410A93AC}" name=" € 37,329.00 "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3.xml"/><Relationship Id="rId5" Type="http://schemas.openxmlformats.org/officeDocument/2006/relationships/table" Target="../tables/table3.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ED09-700C-4D1B-AB28-06A6442FAE4A}">
  <dimension ref="ANS1:ANS3"/>
  <sheetViews>
    <sheetView workbookViewId="0"/>
  </sheetViews>
  <sheetFormatPr defaultRowHeight="14.4" x14ac:dyDescent="0.3"/>
  <sheetData>
    <row r="1" spans="1059:1059" x14ac:dyDescent="0.3">
      <c r="ANS1" t="s">
        <v>1</v>
      </c>
    </row>
    <row r="3" spans="1059:1059" x14ac:dyDescent="0.3">
      <c r="ANS3">
        <v>76645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5A05-FD55-4CD2-B277-1E0A98AAFF7B}">
  <sheetPr>
    <pageSetUpPr fitToPage="1"/>
  </sheetPr>
  <dimension ref="A1:AG53"/>
  <sheetViews>
    <sheetView tabSelected="1" zoomScale="50" zoomScaleNormal="50" zoomScalePageLayoutView="60" workbookViewId="0">
      <selection activeCell="X46" sqref="A1:X46"/>
    </sheetView>
  </sheetViews>
  <sheetFormatPr defaultRowHeight="14.4" x14ac:dyDescent="0.3"/>
  <cols>
    <col min="1" max="1" width="4.77734375" customWidth="1"/>
    <col min="24" max="24" width="4.77734375" customWidth="1"/>
    <col min="31" max="33" width="0" hidden="1" customWidth="1"/>
  </cols>
  <sheetData>
    <row r="1" spans="1:24" ht="4.95" customHeight="1" x14ac:dyDescent="0.3">
      <c r="A1" s="11"/>
      <c r="B1" s="11"/>
      <c r="C1" s="11"/>
      <c r="D1" s="11"/>
      <c r="E1" s="11"/>
      <c r="F1" s="11"/>
      <c r="G1" s="11"/>
      <c r="H1" s="11"/>
      <c r="I1" s="11"/>
      <c r="J1" s="11"/>
      <c r="K1" s="11"/>
      <c r="L1" s="11"/>
      <c r="M1" s="11"/>
      <c r="N1" s="11"/>
      <c r="O1" s="11"/>
      <c r="P1" s="11"/>
      <c r="Q1" s="11"/>
      <c r="R1" s="11"/>
      <c r="S1" s="11"/>
      <c r="T1" s="11"/>
      <c r="U1" s="11"/>
      <c r="V1" s="11"/>
      <c r="W1" s="11"/>
      <c r="X1" s="11"/>
    </row>
    <row r="2" spans="1:24" ht="14.4" customHeight="1" x14ac:dyDescent="0.3">
      <c r="A2" s="36" t="s">
        <v>66</v>
      </c>
      <c r="B2" s="36"/>
      <c r="C2" s="36"/>
      <c r="D2" s="36"/>
      <c r="E2" s="36"/>
      <c r="F2" s="36"/>
      <c r="G2" s="36"/>
      <c r="H2" s="36"/>
      <c r="I2" s="36"/>
      <c r="J2" s="36"/>
      <c r="K2" s="36"/>
      <c r="L2" s="36"/>
      <c r="M2" s="34" t="s">
        <v>49</v>
      </c>
      <c r="N2" s="34"/>
      <c r="O2" s="34"/>
      <c r="P2" s="28"/>
      <c r="Q2" s="34" t="s">
        <v>51</v>
      </c>
      <c r="R2" s="34"/>
      <c r="S2" s="34"/>
      <c r="T2" s="28"/>
      <c r="U2" s="34" t="s">
        <v>50</v>
      </c>
      <c r="V2" s="34"/>
      <c r="W2" s="34"/>
      <c r="X2" s="11"/>
    </row>
    <row r="3" spans="1:24" ht="18" x14ac:dyDescent="0.3">
      <c r="A3" s="36"/>
      <c r="B3" s="36"/>
      <c r="C3" s="36"/>
      <c r="D3" s="36"/>
      <c r="E3" s="36"/>
      <c r="F3" s="36"/>
      <c r="G3" s="36"/>
      <c r="H3" s="36"/>
      <c r="I3" s="36"/>
      <c r="J3" s="36"/>
      <c r="K3" s="36"/>
      <c r="L3" s="36"/>
      <c r="M3" s="34"/>
      <c r="N3" s="34"/>
      <c r="O3" s="34"/>
      <c r="P3" s="28"/>
      <c r="Q3" s="34"/>
      <c r="R3" s="34"/>
      <c r="S3" s="34"/>
      <c r="T3" s="28"/>
      <c r="U3" s="34"/>
      <c r="V3" s="34"/>
      <c r="W3" s="34"/>
      <c r="X3" s="11"/>
    </row>
    <row r="4" spans="1:24" ht="18" x14ac:dyDescent="0.3">
      <c r="A4" s="36"/>
      <c r="B4" s="36"/>
      <c r="C4" s="36"/>
      <c r="D4" s="36"/>
      <c r="E4" s="36"/>
      <c r="F4" s="36"/>
      <c r="G4" s="36"/>
      <c r="H4" s="36"/>
      <c r="I4" s="36"/>
      <c r="J4" s="36"/>
      <c r="K4" s="36"/>
      <c r="L4" s="36"/>
      <c r="M4" s="31">
        <f>SUM(SalesData!H3:H207)</f>
        <v>16874722</v>
      </c>
      <c r="N4" s="31"/>
      <c r="O4" s="31"/>
      <c r="P4" s="29"/>
      <c r="Q4" s="37">
        <f>AVERAGE(SalesData!I4:I207)</f>
        <v>1.040686898389628</v>
      </c>
      <c r="R4" s="37"/>
      <c r="S4" s="37"/>
      <c r="T4" s="29"/>
      <c r="U4" s="35" t="str">
        <f>_xlfn.XLOOKUP(MAX(PvtTopSubC!B4:B8),PvtTopSubC!B4:B8,PvtTopSubC!A4:A8)</f>
        <v>Mountain Bikes</v>
      </c>
      <c r="V4" s="35"/>
      <c r="W4" s="35"/>
      <c r="X4" s="11"/>
    </row>
    <row r="5" spans="1:24" ht="18" x14ac:dyDescent="0.3">
      <c r="A5" s="36"/>
      <c r="B5" s="36"/>
      <c r="C5" s="36"/>
      <c r="D5" s="36"/>
      <c r="E5" s="36"/>
      <c r="F5" s="36"/>
      <c r="G5" s="36"/>
      <c r="H5" s="36"/>
      <c r="I5" s="36"/>
      <c r="J5" s="36"/>
      <c r="K5" s="36"/>
      <c r="L5" s="36"/>
      <c r="M5" s="31"/>
      <c r="N5" s="31"/>
      <c r="O5" s="31"/>
      <c r="P5" s="29"/>
      <c r="Q5" s="37"/>
      <c r="R5" s="37"/>
      <c r="S5" s="37"/>
      <c r="T5" s="29"/>
      <c r="U5" s="35"/>
      <c r="V5" s="35"/>
      <c r="W5" s="35"/>
      <c r="X5" s="11"/>
    </row>
    <row r="6" spans="1:24" x14ac:dyDescent="0.3">
      <c r="A6" s="11"/>
      <c r="B6" s="11"/>
      <c r="C6" s="11"/>
      <c r="D6" s="11"/>
      <c r="E6" s="11"/>
      <c r="F6" s="11"/>
      <c r="G6" s="11"/>
      <c r="H6" s="11"/>
      <c r="I6" s="11"/>
      <c r="J6" s="11"/>
      <c r="K6" s="11"/>
      <c r="L6" s="11"/>
      <c r="M6" s="11"/>
      <c r="N6" s="11"/>
      <c r="O6" s="11"/>
      <c r="P6" s="11"/>
      <c r="Q6" s="11"/>
      <c r="R6" s="11"/>
      <c r="S6" s="11"/>
      <c r="T6" s="11"/>
      <c r="U6" s="11"/>
      <c r="V6" s="11"/>
      <c r="W6" s="11"/>
      <c r="X6" s="11"/>
    </row>
    <row r="7" spans="1:24" x14ac:dyDescent="0.3">
      <c r="A7" s="12"/>
      <c r="B7" s="12"/>
      <c r="C7" s="12"/>
      <c r="D7" s="12"/>
      <c r="E7" s="12"/>
      <c r="F7" s="12"/>
      <c r="G7" s="12"/>
      <c r="H7" s="12"/>
      <c r="I7" s="12"/>
      <c r="J7" s="12"/>
      <c r="K7" s="12"/>
      <c r="L7" s="12"/>
      <c r="M7" s="12"/>
      <c r="N7" s="12"/>
      <c r="O7" s="12"/>
      <c r="P7" s="12"/>
      <c r="Q7" s="12"/>
      <c r="R7" s="12"/>
      <c r="S7" s="12"/>
      <c r="T7" s="12"/>
      <c r="U7" s="12"/>
      <c r="V7" s="12"/>
      <c r="W7" s="12"/>
      <c r="X7" s="12"/>
    </row>
    <row r="8" spans="1:24" x14ac:dyDescent="0.3">
      <c r="A8" s="12"/>
      <c r="B8" s="12"/>
      <c r="C8" s="12"/>
      <c r="D8" s="12"/>
      <c r="E8" s="12"/>
      <c r="F8" s="12"/>
      <c r="G8" s="12"/>
      <c r="H8" s="12"/>
      <c r="I8" s="12"/>
      <c r="J8" s="12"/>
      <c r="K8" s="12"/>
      <c r="L8" s="12"/>
      <c r="M8" s="12"/>
      <c r="N8" s="12"/>
      <c r="O8" s="12"/>
      <c r="P8" s="12"/>
      <c r="Q8" s="12"/>
      <c r="R8" s="12"/>
      <c r="S8" s="12"/>
      <c r="T8" s="12"/>
      <c r="U8" s="12"/>
      <c r="V8" s="12"/>
      <c r="W8" s="12"/>
      <c r="X8" s="12"/>
    </row>
    <row r="9" spans="1:24" x14ac:dyDescent="0.3">
      <c r="A9" s="12"/>
      <c r="B9" s="12"/>
      <c r="C9" s="12"/>
      <c r="D9" s="12"/>
      <c r="E9" s="12"/>
      <c r="F9" s="12"/>
      <c r="G9" s="12"/>
      <c r="H9" s="12"/>
      <c r="I9" s="12"/>
      <c r="J9" s="12"/>
      <c r="K9" s="12"/>
      <c r="L9" s="12"/>
      <c r="M9" s="12"/>
      <c r="N9" s="12"/>
      <c r="O9" s="12"/>
      <c r="P9" s="12"/>
      <c r="Q9" s="12"/>
      <c r="R9" s="12"/>
      <c r="S9" s="12"/>
      <c r="T9" s="12"/>
      <c r="U9" s="12"/>
      <c r="V9" s="12"/>
      <c r="W9" s="12"/>
      <c r="X9" s="12"/>
    </row>
    <row r="10" spans="1:2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33"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33"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AE34" s="31" t="str">
        <f>_xlfn.CONCAT("The month with highest sales volume is ",_xlfn.XLOOKUP(MAX('PvtSalesMonth&amp;Cat'!E25:E36),'PvtSalesMonth&amp;Cat'!E25:E36,'PvtSalesMonth&amp;Cat'!A25:A36))</f>
        <v>The month with highest sales volume is December</v>
      </c>
      <c r="AF34" s="31"/>
      <c r="AG34" s="31"/>
    </row>
    <row r="35" spans="1:33"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AE35" s="31"/>
      <c r="AF35" s="31"/>
      <c r="AG35" s="31"/>
    </row>
    <row r="36" spans="1:33"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AE36" s="31" t="str">
        <f>_xlfn.CONCAT("The month with highest target achieved is ",_xlfn.XLOOKUP(MAX(Sales_Summary[% Target Achieved]),Sales_Summary[% Target Achieved],Sales_Summary[Month]))</f>
        <v>The month with highest target achieved is July</v>
      </c>
      <c r="AF36" s="31"/>
      <c r="AG36" s="31"/>
    </row>
    <row r="37" spans="1:33"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AE37" s="31"/>
      <c r="AF37" s="31"/>
      <c r="AG37" s="31"/>
    </row>
    <row r="38" spans="1:33"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33"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33"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33"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33"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row>
    <row r="43" spans="1:33"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row>
    <row r="44" spans="1:33"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row>
    <row r="45" spans="1:33"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row>
    <row r="46" spans="1:33" x14ac:dyDescent="0.3">
      <c r="A46" s="30"/>
      <c r="B46" s="30"/>
      <c r="C46" s="30"/>
      <c r="D46" s="30"/>
      <c r="E46" s="30"/>
      <c r="F46" s="30"/>
      <c r="G46" s="30"/>
      <c r="H46" s="30"/>
      <c r="I46" s="30"/>
      <c r="J46" s="30"/>
      <c r="K46" s="30"/>
      <c r="L46" s="30"/>
      <c r="M46" s="30"/>
      <c r="N46" s="32" t="s">
        <v>68</v>
      </c>
      <c r="O46" s="32"/>
      <c r="P46" s="32"/>
      <c r="Q46" s="32"/>
      <c r="R46" s="32"/>
      <c r="S46" s="32"/>
      <c r="T46" s="32"/>
      <c r="U46" s="32"/>
      <c r="V46" s="32"/>
      <c r="W46" s="32"/>
      <c r="X46" s="30"/>
    </row>
    <row r="47" spans="1:33" ht="14.4" customHeight="1" x14ac:dyDescent="0.3">
      <c r="A47" s="33" t="s">
        <v>67</v>
      </c>
      <c r="B47" s="33"/>
      <c r="C47" s="33"/>
      <c r="D47" s="33"/>
      <c r="E47" s="33"/>
      <c r="F47" s="33"/>
      <c r="G47" s="33"/>
      <c r="H47" s="33"/>
      <c r="I47" s="33"/>
      <c r="J47" s="33"/>
      <c r="K47" s="33"/>
      <c r="L47" s="33"/>
      <c r="M47" s="33"/>
      <c r="N47" s="33"/>
      <c r="O47" s="33"/>
      <c r="P47" s="33"/>
      <c r="Q47" s="33"/>
      <c r="R47" s="33"/>
      <c r="S47" s="33"/>
      <c r="T47" s="33"/>
      <c r="U47" s="33"/>
      <c r="V47" s="33"/>
      <c r="W47" s="33"/>
      <c r="X47" s="33"/>
    </row>
    <row r="48" spans="1:33" ht="14.4" customHeight="1" x14ac:dyDescent="0.3">
      <c r="A48" s="33"/>
      <c r="B48" s="33"/>
      <c r="C48" s="33"/>
      <c r="D48" s="33"/>
      <c r="E48" s="33"/>
      <c r="F48" s="33"/>
      <c r="G48" s="33"/>
      <c r="H48" s="33"/>
      <c r="I48" s="33"/>
      <c r="J48" s="33"/>
      <c r="K48" s="33"/>
      <c r="L48" s="33"/>
      <c r="M48" s="33"/>
      <c r="N48" s="33"/>
      <c r="O48" s="33"/>
      <c r="P48" s="33"/>
      <c r="Q48" s="33"/>
      <c r="R48" s="33"/>
      <c r="S48" s="33"/>
      <c r="T48" s="33"/>
      <c r="U48" s="33"/>
      <c r="V48" s="33"/>
      <c r="W48" s="33"/>
      <c r="X48" s="33"/>
    </row>
    <row r="49" spans="1:24" x14ac:dyDescent="0.3">
      <c r="A49" s="33"/>
      <c r="B49" s="33"/>
      <c r="C49" s="33"/>
      <c r="D49" s="33"/>
      <c r="E49" s="33"/>
      <c r="F49" s="33"/>
      <c r="G49" s="33"/>
      <c r="H49" s="33"/>
      <c r="I49" s="33"/>
      <c r="J49" s="33"/>
      <c r="K49" s="33"/>
      <c r="L49" s="33"/>
      <c r="M49" s="33"/>
      <c r="N49" s="33"/>
      <c r="O49" s="33"/>
      <c r="P49" s="33"/>
      <c r="Q49" s="33"/>
      <c r="R49" s="33"/>
      <c r="S49" s="33"/>
      <c r="T49" s="33"/>
      <c r="U49" s="33"/>
      <c r="V49" s="33"/>
      <c r="W49" s="33"/>
      <c r="X49" s="33"/>
    </row>
    <row r="50" spans="1:24" x14ac:dyDescent="0.3">
      <c r="A50" s="33"/>
      <c r="B50" s="33"/>
      <c r="C50" s="33"/>
      <c r="D50" s="33"/>
      <c r="E50" s="33"/>
      <c r="F50" s="33"/>
      <c r="G50" s="33"/>
      <c r="H50" s="33"/>
      <c r="I50" s="33"/>
      <c r="J50" s="33"/>
      <c r="K50" s="33"/>
      <c r="L50" s="33"/>
      <c r="M50" s="33"/>
      <c r="N50" s="33"/>
      <c r="O50" s="33"/>
      <c r="P50" s="33"/>
      <c r="Q50" s="33"/>
      <c r="R50" s="33"/>
      <c r="S50" s="33"/>
      <c r="T50" s="33"/>
      <c r="U50" s="33"/>
      <c r="V50" s="33"/>
      <c r="W50" s="33"/>
      <c r="X50" s="33"/>
    </row>
    <row r="51" spans="1:24" x14ac:dyDescent="0.3">
      <c r="A51" s="33"/>
      <c r="B51" s="33"/>
      <c r="C51" s="33"/>
      <c r="D51" s="33"/>
      <c r="E51" s="33"/>
      <c r="F51" s="33"/>
      <c r="G51" s="33"/>
      <c r="H51" s="33"/>
      <c r="I51" s="33"/>
      <c r="J51" s="33"/>
      <c r="K51" s="33"/>
      <c r="L51" s="33"/>
      <c r="M51" s="33"/>
      <c r="N51" s="33"/>
      <c r="O51" s="33"/>
      <c r="P51" s="33"/>
      <c r="Q51" s="33"/>
      <c r="R51" s="33"/>
      <c r="S51" s="33"/>
      <c r="T51" s="33"/>
      <c r="U51" s="33"/>
      <c r="V51" s="33"/>
      <c r="W51" s="33"/>
      <c r="X51" s="33"/>
    </row>
    <row r="52" spans="1:24" x14ac:dyDescent="0.3">
      <c r="A52" s="33"/>
      <c r="B52" s="33"/>
      <c r="C52" s="33"/>
      <c r="D52" s="33"/>
      <c r="E52" s="33"/>
      <c r="F52" s="33"/>
      <c r="G52" s="33"/>
      <c r="H52" s="33"/>
      <c r="I52" s="33"/>
      <c r="J52" s="33"/>
      <c r="K52" s="33"/>
      <c r="L52" s="33"/>
      <c r="M52" s="33"/>
      <c r="N52" s="33"/>
      <c r="O52" s="33"/>
      <c r="P52" s="33"/>
      <c r="Q52" s="33"/>
      <c r="R52" s="33"/>
      <c r="S52" s="33"/>
      <c r="T52" s="33"/>
      <c r="U52" s="33"/>
      <c r="V52" s="33"/>
      <c r="W52" s="33"/>
      <c r="X52" s="33"/>
    </row>
    <row r="53" spans="1:24" x14ac:dyDescent="0.3">
      <c r="A53" s="33"/>
      <c r="B53" s="33"/>
      <c r="C53" s="33"/>
      <c r="D53" s="33"/>
      <c r="E53" s="33"/>
      <c r="F53" s="33"/>
      <c r="G53" s="33"/>
      <c r="H53" s="33"/>
      <c r="I53" s="33"/>
      <c r="J53" s="33"/>
      <c r="K53" s="33"/>
      <c r="L53" s="33"/>
      <c r="M53" s="33"/>
      <c r="N53" s="33"/>
      <c r="O53" s="33"/>
      <c r="P53" s="33"/>
      <c r="Q53" s="33"/>
      <c r="R53" s="33"/>
      <c r="S53" s="33"/>
      <c r="T53" s="33"/>
      <c r="U53" s="33"/>
      <c r="V53" s="33"/>
      <c r="W53" s="33"/>
      <c r="X53" s="33"/>
    </row>
  </sheetData>
  <mergeCells count="11">
    <mergeCell ref="AE34:AG35"/>
    <mergeCell ref="AE36:AG37"/>
    <mergeCell ref="N46:W46"/>
    <mergeCell ref="A47:X53"/>
    <mergeCell ref="U2:W3"/>
    <mergeCell ref="U4:W5"/>
    <mergeCell ref="Q2:S3"/>
    <mergeCell ref="A2:L5"/>
    <mergeCell ref="M2:O3"/>
    <mergeCell ref="M4:O5"/>
    <mergeCell ref="Q4:S5"/>
  </mergeCells>
  <pageMargins left="0.25" right="0.25" top="0.75" bottom="0.75" header="0.3" footer="0.3"/>
  <pageSetup paperSize="9" scale="50" orientation="landscape" r:id="rId1"/>
  <headerFooter>
    <oddHeader>&amp;CData Architecture for Target Control and Trend Analysis</oddHeader>
    <oddFooter>&amp;LDataset of Excel Skills for Data Analytics and Visualization Specialization - Macquarie University&amp;RAndrei Berner Arroyo Tanta</oddFooter>
  </headerFooter>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P207"/>
  <sheetViews>
    <sheetView topLeftCell="A172" zoomScaleNormal="100" workbookViewId="0">
      <selection activeCell="F190" sqref="F190"/>
    </sheetView>
  </sheetViews>
  <sheetFormatPr defaultRowHeight="14.4" x14ac:dyDescent="0.3"/>
  <cols>
    <col min="1" max="1" width="10.77734375" bestFit="1" customWidth="1"/>
    <col min="2" max="2" width="15.5546875" bestFit="1" customWidth="1"/>
    <col min="3" max="3" width="10.6640625" hidden="1" customWidth="1"/>
    <col min="4" max="4" width="16.33203125" bestFit="1" customWidth="1"/>
    <col min="5" max="5" width="10.77734375" customWidth="1"/>
    <col min="6" max="6" width="16.21875" bestFit="1" customWidth="1"/>
    <col min="7" max="7" width="9.33203125" bestFit="1" customWidth="1"/>
    <col min="8" max="8" width="9" style="4" bestFit="1" customWidth="1"/>
    <col min="9" max="9" width="18.77734375" style="4" customWidth="1"/>
    <col min="10" max="18" width="11" customWidth="1"/>
    <col min="19" max="19" width="14.33203125" bestFit="1" customWidth="1"/>
  </cols>
  <sheetData>
    <row r="1" spans="1:16" ht="23.4" x14ac:dyDescent="0.45">
      <c r="A1" s="2" t="s">
        <v>0</v>
      </c>
      <c r="B1" s="3"/>
      <c r="P1" s="1"/>
    </row>
    <row r="3" spans="1:16" x14ac:dyDescent="0.3">
      <c r="A3" t="s">
        <v>2</v>
      </c>
      <c r="B3" t="s">
        <v>3</v>
      </c>
      <c r="C3" t="s">
        <v>4</v>
      </c>
      <c r="D3" t="s">
        <v>5</v>
      </c>
      <c r="E3" t="s">
        <v>6</v>
      </c>
      <c r="F3" t="s">
        <v>44</v>
      </c>
      <c r="G3" t="s">
        <v>45</v>
      </c>
      <c r="H3" s="8" t="s">
        <v>7</v>
      </c>
      <c r="I3" t="s">
        <v>8</v>
      </c>
    </row>
    <row r="4" spans="1:16" x14ac:dyDescent="0.3">
      <c r="A4" t="s">
        <v>9</v>
      </c>
      <c r="B4" t="s">
        <v>10</v>
      </c>
      <c r="C4">
        <v>483</v>
      </c>
      <c r="D4">
        <v>3400</v>
      </c>
      <c r="E4" t="s">
        <v>11</v>
      </c>
      <c r="F4">
        <v>1</v>
      </c>
      <c r="G4" s="13" t="str">
        <f>TEXT(DATE(2000,Sales_Summary[[#This Row],[Month number]], 1), "mmmm")</f>
        <v>January</v>
      </c>
      <c r="H4" s="8">
        <v>1170</v>
      </c>
      <c r="I4" s="4">
        <v>0.34411764705882403</v>
      </c>
    </row>
    <row r="5" spans="1:16" x14ac:dyDescent="0.3">
      <c r="A5" t="s">
        <v>9</v>
      </c>
      <c r="B5" t="s">
        <v>10</v>
      </c>
      <c r="C5">
        <v>483</v>
      </c>
      <c r="D5">
        <v>3400</v>
      </c>
      <c r="E5" t="s">
        <v>12</v>
      </c>
      <c r="F5">
        <v>2</v>
      </c>
      <c r="G5" s="13" t="str">
        <f>TEXT(DATE(2000,Sales_Summary[[#This Row],[Month number]], 1), "mmmm")</f>
        <v>February</v>
      </c>
      <c r="H5" s="8">
        <v>2674</v>
      </c>
      <c r="I5" s="4">
        <v>0.78647058823529403</v>
      </c>
    </row>
    <row r="6" spans="1:16" x14ac:dyDescent="0.3">
      <c r="A6" t="s">
        <v>9</v>
      </c>
      <c r="B6" t="s">
        <v>10</v>
      </c>
      <c r="C6">
        <v>483</v>
      </c>
      <c r="D6">
        <v>3400</v>
      </c>
      <c r="E6" t="s">
        <v>13</v>
      </c>
      <c r="F6">
        <v>3</v>
      </c>
      <c r="G6" s="13" t="str">
        <f>TEXT(DATE(2000,Sales_Summary[[#This Row],[Month number]], 1), "mmmm")</f>
        <v>March</v>
      </c>
      <c r="H6" s="8">
        <v>4173</v>
      </c>
      <c r="I6" s="4">
        <v>1.2273529411764701</v>
      </c>
    </row>
    <row r="7" spans="1:16" x14ac:dyDescent="0.3">
      <c r="A7" t="s">
        <v>9</v>
      </c>
      <c r="B7" t="s">
        <v>10</v>
      </c>
      <c r="C7">
        <v>483</v>
      </c>
      <c r="D7">
        <v>3400</v>
      </c>
      <c r="E7" t="s">
        <v>14</v>
      </c>
      <c r="F7">
        <v>4</v>
      </c>
      <c r="G7" s="13" t="str">
        <f>TEXT(DATE(2000,Sales_Summary[[#This Row],[Month number]], 1), "mmmm")</f>
        <v>April</v>
      </c>
      <c r="H7" s="8">
        <v>2218</v>
      </c>
      <c r="I7" s="4">
        <v>0.65235294117647002</v>
      </c>
    </row>
    <row r="8" spans="1:16" x14ac:dyDescent="0.3">
      <c r="A8" t="s">
        <v>9</v>
      </c>
      <c r="B8" t="s">
        <v>10</v>
      </c>
      <c r="C8">
        <v>483</v>
      </c>
      <c r="D8">
        <v>3400</v>
      </c>
      <c r="E8" t="s">
        <v>15</v>
      </c>
      <c r="F8">
        <v>5</v>
      </c>
      <c r="G8" s="13" t="str">
        <f>TEXT(DATE(2000,Sales_Summary[[#This Row],[Month number]], 1), "mmmm")</f>
        <v>May</v>
      </c>
      <c r="H8" s="8">
        <v>2676</v>
      </c>
      <c r="I8" s="4">
        <v>0.78705882352941203</v>
      </c>
    </row>
    <row r="9" spans="1:16" x14ac:dyDescent="0.3">
      <c r="A9" t="s">
        <v>9</v>
      </c>
      <c r="B9" t="s">
        <v>10</v>
      </c>
      <c r="C9">
        <v>483</v>
      </c>
      <c r="D9">
        <v>3400</v>
      </c>
      <c r="E9" t="s">
        <v>16</v>
      </c>
      <c r="F9">
        <v>6</v>
      </c>
      <c r="G9" s="13" t="str">
        <f>TEXT(DATE(2000,Sales_Summary[[#This Row],[Month number]], 1), "mmmm")</f>
        <v>June</v>
      </c>
      <c r="H9" s="8">
        <v>3318</v>
      </c>
      <c r="I9" s="4">
        <v>0.97588235294117598</v>
      </c>
    </row>
    <row r="10" spans="1:16" x14ac:dyDescent="0.3">
      <c r="A10" t="s">
        <v>9</v>
      </c>
      <c r="B10" t="s">
        <v>10</v>
      </c>
      <c r="C10">
        <v>483</v>
      </c>
      <c r="D10">
        <v>3400</v>
      </c>
      <c r="E10" t="s">
        <v>17</v>
      </c>
      <c r="F10">
        <v>7</v>
      </c>
      <c r="G10" s="13" t="str">
        <f>TEXT(DATE(2000,Sales_Summary[[#This Row],[Month number]], 1), "mmmm")</f>
        <v>July</v>
      </c>
      <c r="H10" s="8">
        <v>2257</v>
      </c>
      <c r="I10" s="4">
        <v>0.66382352941176503</v>
      </c>
    </row>
    <row r="11" spans="1:16" x14ac:dyDescent="0.3">
      <c r="A11" t="s">
        <v>9</v>
      </c>
      <c r="B11" t="s">
        <v>10</v>
      </c>
      <c r="C11">
        <v>483</v>
      </c>
      <c r="D11">
        <v>3400</v>
      </c>
      <c r="E11" t="s">
        <v>18</v>
      </c>
      <c r="F11">
        <v>8</v>
      </c>
      <c r="G11" s="13" t="str">
        <f>TEXT(DATE(2000,Sales_Summary[[#This Row],[Month number]], 1), "mmmm")</f>
        <v>August</v>
      </c>
      <c r="H11" s="8">
        <v>3326</v>
      </c>
      <c r="I11" s="4">
        <v>0.97823529411764698</v>
      </c>
    </row>
    <row r="12" spans="1:16" x14ac:dyDescent="0.3">
      <c r="A12" t="s">
        <v>9</v>
      </c>
      <c r="B12" t="s">
        <v>10</v>
      </c>
      <c r="C12">
        <v>483</v>
      </c>
      <c r="D12">
        <v>3400</v>
      </c>
      <c r="E12" t="s">
        <v>19</v>
      </c>
      <c r="F12">
        <v>9</v>
      </c>
      <c r="G12" s="13" t="str">
        <f>TEXT(DATE(2000,Sales_Summary[[#This Row],[Month number]], 1), "mmmm")</f>
        <v>September</v>
      </c>
      <c r="H12" s="8">
        <v>3924</v>
      </c>
      <c r="I12" s="4">
        <v>1.1541176470588199</v>
      </c>
    </row>
    <row r="13" spans="1:16" x14ac:dyDescent="0.3">
      <c r="A13" t="s">
        <v>9</v>
      </c>
      <c r="B13" t="s">
        <v>10</v>
      </c>
      <c r="C13">
        <v>483</v>
      </c>
      <c r="D13">
        <v>3400</v>
      </c>
      <c r="E13" t="s">
        <v>20</v>
      </c>
      <c r="F13">
        <v>10</v>
      </c>
      <c r="G13" s="13" t="str">
        <f>TEXT(DATE(2000,Sales_Summary[[#This Row],[Month number]], 1), "mmmm")</f>
        <v>October</v>
      </c>
      <c r="H13" s="8">
        <v>2523</v>
      </c>
      <c r="I13" s="4">
        <v>0.74205882352941199</v>
      </c>
    </row>
    <row r="14" spans="1:16" x14ac:dyDescent="0.3">
      <c r="A14" t="s">
        <v>9</v>
      </c>
      <c r="B14" t="s">
        <v>10</v>
      </c>
      <c r="C14">
        <v>483</v>
      </c>
      <c r="D14">
        <v>3400</v>
      </c>
      <c r="E14" t="s">
        <v>21</v>
      </c>
      <c r="F14">
        <v>11</v>
      </c>
      <c r="G14" s="13" t="str">
        <f>TEXT(DATE(2000,Sales_Summary[[#This Row],[Month number]], 1), "mmmm")</f>
        <v>November</v>
      </c>
      <c r="H14" s="8">
        <v>5480</v>
      </c>
      <c r="I14" s="4">
        <v>1.6117647058823501</v>
      </c>
    </row>
    <row r="15" spans="1:16" x14ac:dyDescent="0.3">
      <c r="A15" t="s">
        <v>9</v>
      </c>
      <c r="B15" t="s">
        <v>10</v>
      </c>
      <c r="C15">
        <v>483</v>
      </c>
      <c r="D15">
        <v>3400</v>
      </c>
      <c r="E15" t="s">
        <v>22</v>
      </c>
      <c r="F15">
        <v>12</v>
      </c>
      <c r="G15" s="13" t="str">
        <f>TEXT(DATE(2000,Sales_Summary[[#This Row],[Month number]], 1), "mmmm")</f>
        <v>December</v>
      </c>
      <c r="H15" s="8">
        <v>3590</v>
      </c>
      <c r="I15" s="4">
        <v>1.05588235294118</v>
      </c>
    </row>
    <row r="16" spans="1:16" x14ac:dyDescent="0.3">
      <c r="A16" t="s">
        <v>9</v>
      </c>
      <c r="B16" t="s">
        <v>23</v>
      </c>
      <c r="C16">
        <v>486</v>
      </c>
      <c r="D16">
        <v>2700</v>
      </c>
      <c r="E16" t="s">
        <v>11</v>
      </c>
      <c r="F16">
        <v>1</v>
      </c>
      <c r="G16" s="13" t="str">
        <f>TEXT(DATE(2000,Sales_Summary[[#This Row],[Month number]], 1), "mmmm")</f>
        <v>January</v>
      </c>
      <c r="H16" s="8">
        <v>705</v>
      </c>
      <c r="I16" s="4">
        <v>0.26111111111111102</v>
      </c>
    </row>
    <row r="17" spans="1:9" x14ac:dyDescent="0.3">
      <c r="A17" t="s">
        <v>9</v>
      </c>
      <c r="B17" t="s">
        <v>23</v>
      </c>
      <c r="C17">
        <v>486</v>
      </c>
      <c r="D17">
        <v>2700</v>
      </c>
      <c r="E17" t="s">
        <v>12</v>
      </c>
      <c r="F17">
        <v>2</v>
      </c>
      <c r="G17" s="13" t="str">
        <f>TEXT(DATE(2000,Sales_Summary[[#This Row],[Month number]], 1), "mmmm")</f>
        <v>February</v>
      </c>
      <c r="H17" s="8">
        <v>3734</v>
      </c>
      <c r="I17" s="4">
        <v>1.3829629629629601</v>
      </c>
    </row>
    <row r="18" spans="1:9" x14ac:dyDescent="0.3">
      <c r="A18" t="s">
        <v>9</v>
      </c>
      <c r="B18" t="s">
        <v>23</v>
      </c>
      <c r="C18">
        <v>486</v>
      </c>
      <c r="D18">
        <v>2700</v>
      </c>
      <c r="E18" t="s">
        <v>13</v>
      </c>
      <c r="F18">
        <v>3</v>
      </c>
      <c r="G18" s="13" t="str">
        <f>TEXT(DATE(2000,Sales_Summary[[#This Row],[Month number]], 1), "mmmm")</f>
        <v>March</v>
      </c>
      <c r="H18" s="8">
        <v>2907</v>
      </c>
      <c r="I18" s="4">
        <v>1.07666666666667</v>
      </c>
    </row>
    <row r="19" spans="1:9" x14ac:dyDescent="0.3">
      <c r="A19" t="s">
        <v>9</v>
      </c>
      <c r="B19" t="s">
        <v>23</v>
      </c>
      <c r="C19">
        <v>486</v>
      </c>
      <c r="D19">
        <v>2700</v>
      </c>
      <c r="E19" t="s">
        <v>14</v>
      </c>
      <c r="F19">
        <v>4</v>
      </c>
      <c r="G19" s="13" t="str">
        <f>TEXT(DATE(2000,Sales_Summary[[#This Row],[Month number]], 1), "mmmm")</f>
        <v>April</v>
      </c>
      <c r="H19" s="8">
        <v>4901</v>
      </c>
      <c r="I19" s="4">
        <v>1.8151851851851899</v>
      </c>
    </row>
    <row r="20" spans="1:9" x14ac:dyDescent="0.3">
      <c r="A20" t="s">
        <v>9</v>
      </c>
      <c r="B20" t="s">
        <v>23</v>
      </c>
      <c r="C20">
        <v>486</v>
      </c>
      <c r="D20">
        <v>2700</v>
      </c>
      <c r="E20" t="s">
        <v>15</v>
      </c>
      <c r="F20">
        <v>5</v>
      </c>
      <c r="G20" s="13" t="str">
        <f>TEXT(DATE(2000,Sales_Summary[[#This Row],[Month number]], 1), "mmmm")</f>
        <v>May</v>
      </c>
      <c r="H20" s="8">
        <v>3478</v>
      </c>
      <c r="I20" s="4">
        <v>1.28814814814815</v>
      </c>
    </row>
    <row r="21" spans="1:9" x14ac:dyDescent="0.3">
      <c r="A21" t="s">
        <v>9</v>
      </c>
      <c r="B21" t="s">
        <v>23</v>
      </c>
      <c r="C21">
        <v>486</v>
      </c>
      <c r="D21">
        <v>2700</v>
      </c>
      <c r="E21" t="s">
        <v>16</v>
      </c>
      <c r="F21">
        <v>6</v>
      </c>
      <c r="G21" s="13" t="str">
        <f>TEXT(DATE(2000,Sales_Summary[[#This Row],[Month number]], 1), "mmmm")</f>
        <v>June</v>
      </c>
      <c r="H21" s="8">
        <v>4651</v>
      </c>
      <c r="I21" s="4">
        <v>1.72259259259259</v>
      </c>
    </row>
    <row r="22" spans="1:9" x14ac:dyDescent="0.3">
      <c r="A22" t="s">
        <v>9</v>
      </c>
      <c r="B22" t="s">
        <v>23</v>
      </c>
      <c r="C22">
        <v>486</v>
      </c>
      <c r="D22">
        <v>2700</v>
      </c>
      <c r="E22" t="s">
        <v>17</v>
      </c>
      <c r="F22">
        <v>7</v>
      </c>
      <c r="G22" s="13" t="str">
        <f>TEXT(DATE(2000,Sales_Summary[[#This Row],[Month number]], 1), "mmmm")</f>
        <v>July</v>
      </c>
      <c r="H22" s="8">
        <v>2813</v>
      </c>
      <c r="I22" s="4">
        <v>1.04185185185185</v>
      </c>
    </row>
    <row r="23" spans="1:9" x14ac:dyDescent="0.3">
      <c r="A23" t="s">
        <v>9</v>
      </c>
      <c r="B23" t="s">
        <v>23</v>
      </c>
      <c r="C23">
        <v>486</v>
      </c>
      <c r="D23">
        <v>2700</v>
      </c>
      <c r="E23" t="s">
        <v>18</v>
      </c>
      <c r="F23">
        <v>8</v>
      </c>
      <c r="G23" s="13" t="str">
        <f>TEXT(DATE(2000,Sales_Summary[[#This Row],[Month number]], 1), "mmmm")</f>
        <v>August</v>
      </c>
      <c r="H23" s="8">
        <v>3042</v>
      </c>
      <c r="I23" s="4">
        <v>1.12666666666667</v>
      </c>
    </row>
    <row r="24" spans="1:9" x14ac:dyDescent="0.3">
      <c r="A24" t="s">
        <v>9</v>
      </c>
      <c r="B24" t="s">
        <v>23</v>
      </c>
      <c r="C24">
        <v>486</v>
      </c>
      <c r="D24">
        <v>2700</v>
      </c>
      <c r="E24" t="s">
        <v>19</v>
      </c>
      <c r="F24">
        <v>9</v>
      </c>
      <c r="G24" s="13" t="str">
        <f>TEXT(DATE(2000,Sales_Summary[[#This Row],[Month number]], 1), "mmmm")</f>
        <v>September</v>
      </c>
      <c r="H24" s="8">
        <v>2440</v>
      </c>
      <c r="I24" s="4">
        <v>0.90370370370370401</v>
      </c>
    </row>
    <row r="25" spans="1:9" x14ac:dyDescent="0.3">
      <c r="A25" t="s">
        <v>9</v>
      </c>
      <c r="B25" t="s">
        <v>23</v>
      </c>
      <c r="C25">
        <v>486</v>
      </c>
      <c r="D25">
        <v>2700</v>
      </c>
      <c r="E25" t="s">
        <v>20</v>
      </c>
      <c r="F25">
        <v>10</v>
      </c>
      <c r="G25" s="13" t="str">
        <f>TEXT(DATE(2000,Sales_Summary[[#This Row],[Month number]], 1), "mmmm")</f>
        <v>October</v>
      </c>
      <c r="H25" s="8">
        <v>4452</v>
      </c>
      <c r="I25" s="4">
        <v>1.64888888888889</v>
      </c>
    </row>
    <row r="26" spans="1:9" x14ac:dyDescent="0.3">
      <c r="A26" t="s">
        <v>9</v>
      </c>
      <c r="B26" t="s">
        <v>23</v>
      </c>
      <c r="C26">
        <v>486</v>
      </c>
      <c r="D26">
        <v>2700</v>
      </c>
      <c r="E26" t="s">
        <v>21</v>
      </c>
      <c r="F26">
        <v>11</v>
      </c>
      <c r="G26" s="13" t="str">
        <f>TEXT(DATE(2000,Sales_Summary[[#This Row],[Month number]], 1), "mmmm")</f>
        <v>November</v>
      </c>
      <c r="H26" s="8">
        <v>3920</v>
      </c>
      <c r="I26" s="4">
        <v>1.45185185185185</v>
      </c>
    </row>
    <row r="27" spans="1:9" x14ac:dyDescent="0.3">
      <c r="A27" t="s">
        <v>9</v>
      </c>
      <c r="B27" t="s">
        <v>23</v>
      </c>
      <c r="C27">
        <v>486</v>
      </c>
      <c r="D27">
        <v>2700</v>
      </c>
      <c r="E27" t="s">
        <v>22</v>
      </c>
      <c r="F27">
        <v>12</v>
      </c>
      <c r="G27" s="13" t="str">
        <f>TEXT(DATE(2000,Sales_Summary[[#This Row],[Month number]], 1), "mmmm")</f>
        <v>December</v>
      </c>
      <c r="H27" s="8">
        <v>2182</v>
      </c>
      <c r="I27" s="4">
        <v>0.80814814814814795</v>
      </c>
    </row>
    <row r="28" spans="1:9" x14ac:dyDescent="0.3">
      <c r="A28" t="s">
        <v>9</v>
      </c>
      <c r="B28" t="s">
        <v>24</v>
      </c>
      <c r="C28">
        <v>477</v>
      </c>
      <c r="D28">
        <v>5600</v>
      </c>
      <c r="E28" t="s">
        <v>11</v>
      </c>
      <c r="F28">
        <v>1</v>
      </c>
      <c r="G28" s="13" t="str">
        <f>TEXT(DATE(2000,Sales_Summary[[#This Row],[Month number]], 1), "mmmm")</f>
        <v>January</v>
      </c>
      <c r="H28" s="8">
        <v>1931</v>
      </c>
      <c r="I28" s="4">
        <v>0.344821428571429</v>
      </c>
    </row>
    <row r="29" spans="1:9" x14ac:dyDescent="0.3">
      <c r="A29" t="s">
        <v>9</v>
      </c>
      <c r="B29" t="s">
        <v>24</v>
      </c>
      <c r="C29">
        <v>477</v>
      </c>
      <c r="D29">
        <v>5600</v>
      </c>
      <c r="E29" t="s">
        <v>12</v>
      </c>
      <c r="F29">
        <v>2</v>
      </c>
      <c r="G29" s="13" t="str">
        <f>TEXT(DATE(2000,Sales_Summary[[#This Row],[Month number]], 1), "mmmm")</f>
        <v>February</v>
      </c>
      <c r="H29" s="8">
        <v>4766</v>
      </c>
      <c r="I29" s="4">
        <v>0.85107142857142903</v>
      </c>
    </row>
    <row r="30" spans="1:9" x14ac:dyDescent="0.3">
      <c r="A30" t="s">
        <v>9</v>
      </c>
      <c r="B30" t="s">
        <v>24</v>
      </c>
      <c r="C30">
        <v>477</v>
      </c>
      <c r="D30">
        <v>5600</v>
      </c>
      <c r="E30" t="s">
        <v>13</v>
      </c>
      <c r="F30">
        <v>3</v>
      </c>
      <c r="G30" s="13" t="str">
        <f>TEXT(DATE(2000,Sales_Summary[[#This Row],[Month number]], 1), "mmmm")</f>
        <v>March</v>
      </c>
      <c r="H30" s="8">
        <v>3695</v>
      </c>
      <c r="I30" s="4">
        <v>0.659821428571429</v>
      </c>
    </row>
    <row r="31" spans="1:9" x14ac:dyDescent="0.3">
      <c r="A31" t="s">
        <v>9</v>
      </c>
      <c r="B31" t="s">
        <v>24</v>
      </c>
      <c r="C31">
        <v>477</v>
      </c>
      <c r="D31">
        <v>5600</v>
      </c>
      <c r="E31" t="s">
        <v>14</v>
      </c>
      <c r="F31">
        <v>4</v>
      </c>
      <c r="G31" s="13" t="str">
        <f>TEXT(DATE(2000,Sales_Summary[[#This Row],[Month number]], 1), "mmmm")</f>
        <v>April</v>
      </c>
      <c r="H31" s="8">
        <v>4488</v>
      </c>
      <c r="I31" s="4">
        <v>0.80142857142857105</v>
      </c>
    </row>
    <row r="32" spans="1:9" x14ac:dyDescent="0.3">
      <c r="A32" t="s">
        <v>9</v>
      </c>
      <c r="B32" t="s">
        <v>24</v>
      </c>
      <c r="C32">
        <v>477</v>
      </c>
      <c r="D32">
        <v>5600</v>
      </c>
      <c r="E32" t="s">
        <v>15</v>
      </c>
      <c r="F32">
        <v>5</v>
      </c>
      <c r="G32" s="13" t="str">
        <f>TEXT(DATE(2000,Sales_Summary[[#This Row],[Month number]], 1), "mmmm")</f>
        <v>May</v>
      </c>
      <c r="H32" s="8">
        <v>4090</v>
      </c>
      <c r="I32" s="4">
        <v>0.73035714285714304</v>
      </c>
    </row>
    <row r="33" spans="1:9" x14ac:dyDescent="0.3">
      <c r="A33" t="s">
        <v>9</v>
      </c>
      <c r="B33" t="s">
        <v>24</v>
      </c>
      <c r="C33">
        <v>477</v>
      </c>
      <c r="D33">
        <v>5600</v>
      </c>
      <c r="E33" t="s">
        <v>16</v>
      </c>
      <c r="F33">
        <v>6</v>
      </c>
      <c r="G33" s="13" t="str">
        <f>TEXT(DATE(2000,Sales_Summary[[#This Row],[Month number]], 1), "mmmm")</f>
        <v>June</v>
      </c>
      <c r="H33" s="8">
        <v>6296</v>
      </c>
      <c r="I33" s="4">
        <v>1.1242857142857099</v>
      </c>
    </row>
    <row r="34" spans="1:9" x14ac:dyDescent="0.3">
      <c r="A34" t="s">
        <v>9</v>
      </c>
      <c r="B34" t="s">
        <v>24</v>
      </c>
      <c r="C34">
        <v>477</v>
      </c>
      <c r="D34">
        <v>5600</v>
      </c>
      <c r="E34" t="s">
        <v>17</v>
      </c>
      <c r="F34">
        <v>7</v>
      </c>
      <c r="G34" s="13" t="str">
        <f>TEXT(DATE(2000,Sales_Summary[[#This Row],[Month number]], 1), "mmmm")</f>
        <v>July</v>
      </c>
      <c r="H34" s="8">
        <v>4910</v>
      </c>
      <c r="I34" s="4">
        <v>0.87678571428571395</v>
      </c>
    </row>
    <row r="35" spans="1:9" x14ac:dyDescent="0.3">
      <c r="A35" t="s">
        <v>9</v>
      </c>
      <c r="B35" t="s">
        <v>24</v>
      </c>
      <c r="C35">
        <v>477</v>
      </c>
      <c r="D35">
        <v>5600</v>
      </c>
      <c r="E35" t="s">
        <v>18</v>
      </c>
      <c r="F35">
        <v>8</v>
      </c>
      <c r="G35" s="13" t="str">
        <f>TEXT(DATE(2000,Sales_Summary[[#This Row],[Month number]], 1), "mmmm")</f>
        <v>August</v>
      </c>
      <c r="H35" s="8">
        <v>5270</v>
      </c>
      <c r="I35" s="4">
        <v>0.941071428571429</v>
      </c>
    </row>
    <row r="36" spans="1:9" x14ac:dyDescent="0.3">
      <c r="A36" t="s">
        <v>9</v>
      </c>
      <c r="B36" t="s">
        <v>24</v>
      </c>
      <c r="C36">
        <v>477</v>
      </c>
      <c r="D36">
        <v>5600</v>
      </c>
      <c r="E36" t="s">
        <v>19</v>
      </c>
      <c r="F36">
        <v>9</v>
      </c>
      <c r="G36" s="13" t="str">
        <f>TEXT(DATE(2000,Sales_Summary[[#This Row],[Month number]], 1), "mmmm")</f>
        <v>September</v>
      </c>
      <c r="H36" s="8">
        <v>5500</v>
      </c>
      <c r="I36" s="4">
        <v>0.98214285714285698</v>
      </c>
    </row>
    <row r="37" spans="1:9" x14ac:dyDescent="0.3">
      <c r="A37" t="s">
        <v>9</v>
      </c>
      <c r="B37" t="s">
        <v>24</v>
      </c>
      <c r="C37">
        <v>477</v>
      </c>
      <c r="D37">
        <v>5600</v>
      </c>
      <c r="E37" t="s">
        <v>20</v>
      </c>
      <c r="F37">
        <v>10</v>
      </c>
      <c r="G37" s="13" t="str">
        <f>TEXT(DATE(2000,Sales_Summary[[#This Row],[Month number]], 1), "mmmm")</f>
        <v>October</v>
      </c>
      <c r="H37" s="8">
        <v>5568</v>
      </c>
      <c r="I37" s="4">
        <v>0.994285714285714</v>
      </c>
    </row>
    <row r="38" spans="1:9" x14ac:dyDescent="0.3">
      <c r="A38" t="s">
        <v>9</v>
      </c>
      <c r="B38" t="s">
        <v>24</v>
      </c>
      <c r="C38">
        <v>477</v>
      </c>
      <c r="D38">
        <v>5600</v>
      </c>
      <c r="E38" t="s">
        <v>21</v>
      </c>
      <c r="F38">
        <v>11</v>
      </c>
      <c r="G38" s="13" t="str">
        <f>TEXT(DATE(2000,Sales_Summary[[#This Row],[Month number]], 1), "mmmm")</f>
        <v>November</v>
      </c>
      <c r="H38" s="8">
        <v>5259</v>
      </c>
      <c r="I38" s="4">
        <v>0.93910714285714303</v>
      </c>
    </row>
    <row r="39" spans="1:9" x14ac:dyDescent="0.3">
      <c r="A39" t="s">
        <v>9</v>
      </c>
      <c r="B39" t="s">
        <v>24</v>
      </c>
      <c r="C39">
        <v>477</v>
      </c>
      <c r="D39">
        <v>5600</v>
      </c>
      <c r="E39" t="s">
        <v>22</v>
      </c>
      <c r="F39">
        <v>12</v>
      </c>
      <c r="G39" s="13" t="str">
        <f>TEXT(DATE(2000,Sales_Summary[[#This Row],[Month number]], 1), "mmmm")</f>
        <v>December</v>
      </c>
      <c r="H39" s="8">
        <v>6064</v>
      </c>
      <c r="I39" s="4">
        <v>1.0828571428571401</v>
      </c>
    </row>
    <row r="40" spans="1:9" x14ac:dyDescent="0.3">
      <c r="A40" t="s">
        <v>9</v>
      </c>
      <c r="B40" t="s">
        <v>25</v>
      </c>
      <c r="C40">
        <v>484</v>
      </c>
      <c r="D40">
        <v>500</v>
      </c>
      <c r="E40" t="s">
        <v>11</v>
      </c>
      <c r="F40">
        <v>1</v>
      </c>
      <c r="G40" s="13" t="str">
        <f>TEXT(DATE(2000,Sales_Summary[[#This Row],[Month number]], 1), "mmmm")</f>
        <v>January</v>
      </c>
      <c r="H40" s="8">
        <v>199</v>
      </c>
      <c r="I40" s="4">
        <v>0.39800000000000002</v>
      </c>
    </row>
    <row r="41" spans="1:9" x14ac:dyDescent="0.3">
      <c r="A41" t="s">
        <v>9</v>
      </c>
      <c r="B41" t="s">
        <v>25</v>
      </c>
      <c r="C41">
        <v>484</v>
      </c>
      <c r="D41">
        <v>500</v>
      </c>
      <c r="E41" t="s">
        <v>12</v>
      </c>
      <c r="F41">
        <v>2</v>
      </c>
      <c r="G41" s="13" t="str">
        <f>TEXT(DATE(2000,Sales_Summary[[#This Row],[Month number]], 1), "mmmm")</f>
        <v>February</v>
      </c>
      <c r="H41" s="8">
        <v>752</v>
      </c>
      <c r="I41" s="4">
        <v>1.504</v>
      </c>
    </row>
    <row r="42" spans="1:9" x14ac:dyDescent="0.3">
      <c r="A42" t="s">
        <v>9</v>
      </c>
      <c r="B42" t="s">
        <v>25</v>
      </c>
      <c r="C42">
        <v>484</v>
      </c>
      <c r="D42">
        <v>500</v>
      </c>
      <c r="E42" t="s">
        <v>13</v>
      </c>
      <c r="F42">
        <v>3</v>
      </c>
      <c r="G42" s="13" t="str">
        <f>TEXT(DATE(2000,Sales_Summary[[#This Row],[Month number]], 1), "mmmm")</f>
        <v>March</v>
      </c>
      <c r="H42" s="8">
        <v>594</v>
      </c>
      <c r="I42" s="4">
        <v>1.1879999999999999</v>
      </c>
    </row>
    <row r="43" spans="1:9" x14ac:dyDescent="0.3">
      <c r="A43" t="s">
        <v>9</v>
      </c>
      <c r="B43" t="s">
        <v>25</v>
      </c>
      <c r="C43">
        <v>484</v>
      </c>
      <c r="D43">
        <v>500</v>
      </c>
      <c r="E43" t="s">
        <v>14</v>
      </c>
      <c r="F43">
        <v>4</v>
      </c>
      <c r="G43" s="13" t="str">
        <f>TEXT(DATE(2000,Sales_Summary[[#This Row],[Month number]], 1), "mmmm")</f>
        <v>April</v>
      </c>
      <c r="H43" s="8">
        <v>695</v>
      </c>
      <c r="I43" s="4">
        <v>1.39</v>
      </c>
    </row>
    <row r="44" spans="1:9" x14ac:dyDescent="0.3">
      <c r="A44" t="s">
        <v>9</v>
      </c>
      <c r="B44" t="s">
        <v>25</v>
      </c>
      <c r="C44">
        <v>484</v>
      </c>
      <c r="D44">
        <v>500</v>
      </c>
      <c r="E44" t="s">
        <v>15</v>
      </c>
      <c r="F44">
        <v>5</v>
      </c>
      <c r="G44" s="13" t="str">
        <f>TEXT(DATE(2000,Sales_Summary[[#This Row],[Month number]], 1), "mmmm")</f>
        <v>May</v>
      </c>
      <c r="H44" s="8">
        <v>408</v>
      </c>
      <c r="I44" s="4">
        <v>0.81599999999999995</v>
      </c>
    </row>
    <row r="45" spans="1:9" x14ac:dyDescent="0.3">
      <c r="A45" t="s">
        <v>9</v>
      </c>
      <c r="B45" t="s">
        <v>25</v>
      </c>
      <c r="C45">
        <v>484</v>
      </c>
      <c r="D45">
        <v>500</v>
      </c>
      <c r="E45" t="s">
        <v>16</v>
      </c>
      <c r="F45">
        <v>6</v>
      </c>
      <c r="G45" s="13" t="str">
        <f>TEXT(DATE(2000,Sales_Summary[[#This Row],[Month number]], 1), "mmmm")</f>
        <v>June</v>
      </c>
      <c r="H45" s="8">
        <v>621</v>
      </c>
      <c r="I45" s="4">
        <v>1.242</v>
      </c>
    </row>
    <row r="46" spans="1:9" x14ac:dyDescent="0.3">
      <c r="A46" t="s">
        <v>9</v>
      </c>
      <c r="B46" t="s">
        <v>25</v>
      </c>
      <c r="C46">
        <v>484</v>
      </c>
      <c r="D46">
        <v>500</v>
      </c>
      <c r="E46" t="s">
        <v>17</v>
      </c>
      <c r="F46">
        <v>7</v>
      </c>
      <c r="G46" s="13" t="str">
        <f>TEXT(DATE(2000,Sales_Summary[[#This Row],[Month number]], 1), "mmmm")</f>
        <v>July</v>
      </c>
      <c r="H46" s="8">
        <v>816</v>
      </c>
      <c r="I46" s="4">
        <v>1.6319999999999999</v>
      </c>
    </row>
    <row r="47" spans="1:9" x14ac:dyDescent="0.3">
      <c r="A47" t="s">
        <v>9</v>
      </c>
      <c r="B47" t="s">
        <v>25</v>
      </c>
      <c r="C47">
        <v>484</v>
      </c>
      <c r="D47">
        <v>500</v>
      </c>
      <c r="E47" t="s">
        <v>18</v>
      </c>
      <c r="F47">
        <v>8</v>
      </c>
      <c r="G47" s="13" t="str">
        <f>TEXT(DATE(2000,Sales_Summary[[#This Row],[Month number]], 1), "mmmm")</f>
        <v>August</v>
      </c>
      <c r="H47" s="8">
        <v>816</v>
      </c>
      <c r="I47" s="4">
        <v>1.6319999999999999</v>
      </c>
    </row>
    <row r="48" spans="1:9" x14ac:dyDescent="0.3">
      <c r="A48" t="s">
        <v>9</v>
      </c>
      <c r="B48" t="s">
        <v>25</v>
      </c>
      <c r="C48">
        <v>484</v>
      </c>
      <c r="D48">
        <v>500</v>
      </c>
      <c r="E48" t="s">
        <v>19</v>
      </c>
      <c r="F48">
        <v>9</v>
      </c>
      <c r="G48" s="13" t="str">
        <f>TEXT(DATE(2000,Sales_Summary[[#This Row],[Month number]], 1), "mmmm")</f>
        <v>September</v>
      </c>
      <c r="H48" s="8">
        <v>278</v>
      </c>
      <c r="I48" s="4">
        <v>0.55600000000000005</v>
      </c>
    </row>
    <row r="49" spans="1:9" x14ac:dyDescent="0.3">
      <c r="A49" t="s">
        <v>9</v>
      </c>
      <c r="B49" t="s">
        <v>25</v>
      </c>
      <c r="C49">
        <v>484</v>
      </c>
      <c r="D49">
        <v>500</v>
      </c>
      <c r="E49" t="s">
        <v>20</v>
      </c>
      <c r="F49">
        <v>10</v>
      </c>
      <c r="G49" s="13" t="str">
        <f>TEXT(DATE(2000,Sales_Summary[[#This Row],[Month number]], 1), "mmmm")</f>
        <v>October</v>
      </c>
      <c r="H49" s="8">
        <v>535</v>
      </c>
      <c r="I49" s="4">
        <v>1.07</v>
      </c>
    </row>
    <row r="50" spans="1:9" x14ac:dyDescent="0.3">
      <c r="A50" t="s">
        <v>9</v>
      </c>
      <c r="B50" t="s">
        <v>25</v>
      </c>
      <c r="C50">
        <v>484</v>
      </c>
      <c r="D50">
        <v>500</v>
      </c>
      <c r="E50" t="s">
        <v>21</v>
      </c>
      <c r="F50">
        <v>11</v>
      </c>
      <c r="G50" s="13" t="str">
        <f>TEXT(DATE(2000,Sales_Summary[[#This Row],[Month number]], 1), "mmmm")</f>
        <v>November</v>
      </c>
      <c r="H50" s="8">
        <v>725</v>
      </c>
      <c r="I50" s="4">
        <v>1.45</v>
      </c>
    </row>
    <row r="51" spans="1:9" x14ac:dyDescent="0.3">
      <c r="A51" t="s">
        <v>9</v>
      </c>
      <c r="B51" t="s">
        <v>25</v>
      </c>
      <c r="C51">
        <v>484</v>
      </c>
      <c r="D51">
        <v>500</v>
      </c>
      <c r="E51" t="s">
        <v>22</v>
      </c>
      <c r="F51">
        <v>12</v>
      </c>
      <c r="G51" s="13" t="str">
        <f>TEXT(DATE(2000,Sales_Summary[[#This Row],[Month number]], 1), "mmmm")</f>
        <v>December</v>
      </c>
      <c r="H51" s="8">
        <v>494</v>
      </c>
      <c r="I51" s="4">
        <v>0.98799999999999999</v>
      </c>
    </row>
    <row r="52" spans="1:9" x14ac:dyDescent="0.3">
      <c r="A52" t="s">
        <v>9</v>
      </c>
      <c r="B52" t="s">
        <v>26</v>
      </c>
      <c r="C52">
        <v>485</v>
      </c>
      <c r="D52">
        <v>3600</v>
      </c>
      <c r="E52" t="s">
        <v>11</v>
      </c>
      <c r="F52">
        <v>1</v>
      </c>
      <c r="G52" s="13" t="str">
        <f>TEXT(DATE(2000,Sales_Summary[[#This Row],[Month number]], 1), "mmmm")</f>
        <v>January</v>
      </c>
      <c r="H52" s="8">
        <v>1009</v>
      </c>
      <c r="I52" s="4">
        <v>0.28027777777777801</v>
      </c>
    </row>
    <row r="53" spans="1:9" x14ac:dyDescent="0.3">
      <c r="A53" t="s">
        <v>9</v>
      </c>
      <c r="B53" t="s">
        <v>26</v>
      </c>
      <c r="C53">
        <v>485</v>
      </c>
      <c r="D53">
        <v>3600</v>
      </c>
      <c r="E53" t="s">
        <v>12</v>
      </c>
      <c r="F53">
        <v>2</v>
      </c>
      <c r="G53" s="13" t="str">
        <f>TEXT(DATE(2000,Sales_Summary[[#This Row],[Month number]], 1), "mmmm")</f>
        <v>February</v>
      </c>
      <c r="H53" s="8">
        <v>3053</v>
      </c>
      <c r="I53" s="4">
        <v>0.84805555555555601</v>
      </c>
    </row>
    <row r="54" spans="1:9" x14ac:dyDescent="0.3">
      <c r="A54" t="s">
        <v>9</v>
      </c>
      <c r="B54" t="s">
        <v>26</v>
      </c>
      <c r="C54">
        <v>485</v>
      </c>
      <c r="D54">
        <v>3600</v>
      </c>
      <c r="E54" t="s">
        <v>13</v>
      </c>
      <c r="F54">
        <v>3</v>
      </c>
      <c r="G54" s="13" t="str">
        <f>TEXT(DATE(2000,Sales_Summary[[#This Row],[Month number]], 1), "mmmm")</f>
        <v>March</v>
      </c>
      <c r="H54" s="8">
        <v>2848</v>
      </c>
      <c r="I54" s="4">
        <v>0.79111111111111099</v>
      </c>
    </row>
    <row r="55" spans="1:9" x14ac:dyDescent="0.3">
      <c r="A55" t="s">
        <v>9</v>
      </c>
      <c r="B55" t="s">
        <v>26</v>
      </c>
      <c r="C55">
        <v>485</v>
      </c>
      <c r="D55">
        <v>3600</v>
      </c>
      <c r="E55" t="s">
        <v>14</v>
      </c>
      <c r="F55">
        <v>4</v>
      </c>
      <c r="G55" s="13" t="str">
        <f>TEXT(DATE(2000,Sales_Summary[[#This Row],[Month number]], 1), "mmmm")</f>
        <v>April</v>
      </c>
      <c r="H55" s="8">
        <v>4298</v>
      </c>
      <c r="I55" s="4">
        <v>1.1938888888888901</v>
      </c>
    </row>
    <row r="56" spans="1:9" x14ac:dyDescent="0.3">
      <c r="A56" t="s">
        <v>9</v>
      </c>
      <c r="B56" t="s">
        <v>26</v>
      </c>
      <c r="C56">
        <v>485</v>
      </c>
      <c r="D56">
        <v>3600</v>
      </c>
      <c r="E56" t="s">
        <v>15</v>
      </c>
      <c r="F56">
        <v>5</v>
      </c>
      <c r="G56" s="13" t="str">
        <f>TEXT(DATE(2000,Sales_Summary[[#This Row],[Month number]], 1), "mmmm")</f>
        <v>May</v>
      </c>
      <c r="H56" s="8">
        <v>3677</v>
      </c>
      <c r="I56" s="4">
        <v>1.02138888888889</v>
      </c>
    </row>
    <row r="57" spans="1:9" x14ac:dyDescent="0.3">
      <c r="A57" t="s">
        <v>9</v>
      </c>
      <c r="B57" t="s">
        <v>26</v>
      </c>
      <c r="C57">
        <v>485</v>
      </c>
      <c r="D57">
        <v>3600</v>
      </c>
      <c r="E57" t="s">
        <v>16</v>
      </c>
      <c r="F57">
        <v>6</v>
      </c>
      <c r="G57" s="13" t="str">
        <f>TEXT(DATE(2000,Sales_Summary[[#This Row],[Month number]], 1), "mmmm")</f>
        <v>June</v>
      </c>
      <c r="H57" s="8">
        <v>3760</v>
      </c>
      <c r="I57" s="4">
        <v>1.0444444444444401</v>
      </c>
    </row>
    <row r="58" spans="1:9" x14ac:dyDescent="0.3">
      <c r="A58" t="s">
        <v>9</v>
      </c>
      <c r="B58" t="s">
        <v>26</v>
      </c>
      <c r="C58">
        <v>485</v>
      </c>
      <c r="D58">
        <v>3600</v>
      </c>
      <c r="E58" t="s">
        <v>17</v>
      </c>
      <c r="F58">
        <v>7</v>
      </c>
      <c r="G58" s="13" t="str">
        <f>TEXT(DATE(2000,Sales_Summary[[#This Row],[Month number]], 1), "mmmm")</f>
        <v>July</v>
      </c>
      <c r="H58" s="8">
        <v>4229</v>
      </c>
      <c r="I58" s="4">
        <v>1.17472222222222</v>
      </c>
    </row>
    <row r="59" spans="1:9" x14ac:dyDescent="0.3">
      <c r="A59" t="s">
        <v>9</v>
      </c>
      <c r="B59" t="s">
        <v>26</v>
      </c>
      <c r="C59">
        <v>485</v>
      </c>
      <c r="D59">
        <v>3600</v>
      </c>
      <c r="E59" t="s">
        <v>18</v>
      </c>
      <c r="F59">
        <v>8</v>
      </c>
      <c r="G59" s="13" t="str">
        <f>TEXT(DATE(2000,Sales_Summary[[#This Row],[Month number]], 1), "mmmm")</f>
        <v>August</v>
      </c>
      <c r="H59" s="8">
        <v>3657</v>
      </c>
      <c r="I59" s="4">
        <v>1.01583333333333</v>
      </c>
    </row>
    <row r="60" spans="1:9" x14ac:dyDescent="0.3">
      <c r="A60" t="s">
        <v>9</v>
      </c>
      <c r="B60" t="s">
        <v>26</v>
      </c>
      <c r="C60">
        <v>485</v>
      </c>
      <c r="D60">
        <v>3600</v>
      </c>
      <c r="E60" t="s">
        <v>19</v>
      </c>
      <c r="F60">
        <v>9</v>
      </c>
      <c r="G60" s="13" t="str">
        <f>TEXT(DATE(2000,Sales_Summary[[#This Row],[Month number]], 1), "mmmm")</f>
        <v>September</v>
      </c>
      <c r="H60" s="8">
        <v>4014</v>
      </c>
      <c r="I60" s="4">
        <v>1.115</v>
      </c>
    </row>
    <row r="61" spans="1:9" x14ac:dyDescent="0.3">
      <c r="A61" t="s">
        <v>9</v>
      </c>
      <c r="B61" t="s">
        <v>26</v>
      </c>
      <c r="C61">
        <v>485</v>
      </c>
      <c r="D61">
        <v>3600</v>
      </c>
      <c r="E61" t="s">
        <v>20</v>
      </c>
      <c r="F61">
        <v>10</v>
      </c>
      <c r="G61" s="13" t="str">
        <f>TEXT(DATE(2000,Sales_Summary[[#This Row],[Month number]], 1), "mmmm")</f>
        <v>October</v>
      </c>
      <c r="H61" s="8">
        <v>3931</v>
      </c>
      <c r="I61" s="4">
        <v>1.0919444444444399</v>
      </c>
    </row>
    <row r="62" spans="1:9" x14ac:dyDescent="0.3">
      <c r="A62" t="s">
        <v>9</v>
      </c>
      <c r="B62" t="s">
        <v>26</v>
      </c>
      <c r="C62">
        <v>485</v>
      </c>
      <c r="D62">
        <v>3600</v>
      </c>
      <c r="E62" t="s">
        <v>21</v>
      </c>
      <c r="F62">
        <v>11</v>
      </c>
      <c r="G62" s="13" t="str">
        <f>TEXT(DATE(2000,Sales_Summary[[#This Row],[Month number]], 1), "mmmm")</f>
        <v>November</v>
      </c>
      <c r="H62" s="8">
        <v>4779</v>
      </c>
      <c r="I62" s="4">
        <v>1.3274999999999999</v>
      </c>
    </row>
    <row r="63" spans="1:9" x14ac:dyDescent="0.3">
      <c r="A63" t="s">
        <v>9</v>
      </c>
      <c r="B63" t="s">
        <v>26</v>
      </c>
      <c r="C63">
        <v>485</v>
      </c>
      <c r="D63">
        <v>3600</v>
      </c>
      <c r="E63" t="s">
        <v>22</v>
      </c>
      <c r="F63">
        <v>12</v>
      </c>
      <c r="G63" s="13" t="str">
        <f>TEXT(DATE(2000,Sales_Summary[[#This Row],[Month number]], 1), "mmmm")</f>
        <v>December</v>
      </c>
      <c r="H63" s="8">
        <v>4883</v>
      </c>
      <c r="I63" s="4">
        <v>1.35638888888889</v>
      </c>
    </row>
    <row r="64" spans="1:9" x14ac:dyDescent="0.3">
      <c r="A64" t="s">
        <v>9</v>
      </c>
      <c r="B64" t="s">
        <v>27</v>
      </c>
      <c r="C64">
        <v>212</v>
      </c>
      <c r="D64">
        <v>15200</v>
      </c>
      <c r="E64" t="s">
        <v>11</v>
      </c>
      <c r="F64">
        <v>1</v>
      </c>
      <c r="G64" s="13" t="str">
        <f>TEXT(DATE(2000,Sales_Summary[[#This Row],[Month number]], 1), "mmmm")</f>
        <v>January</v>
      </c>
      <c r="H64" s="8">
        <v>5356</v>
      </c>
      <c r="I64" s="4">
        <v>0.352368421052632</v>
      </c>
    </row>
    <row r="65" spans="1:9" x14ac:dyDescent="0.3">
      <c r="A65" t="s">
        <v>9</v>
      </c>
      <c r="B65" t="s">
        <v>27</v>
      </c>
      <c r="C65">
        <v>212</v>
      </c>
      <c r="D65">
        <v>15200</v>
      </c>
      <c r="E65" t="s">
        <v>12</v>
      </c>
      <c r="F65">
        <v>2</v>
      </c>
      <c r="G65" s="13" t="str">
        <f>TEXT(DATE(2000,Sales_Summary[[#This Row],[Month number]], 1), "mmmm")</f>
        <v>February</v>
      </c>
      <c r="H65" s="8">
        <v>16260</v>
      </c>
      <c r="I65" s="4">
        <v>1.06973684210526</v>
      </c>
    </row>
    <row r="66" spans="1:9" x14ac:dyDescent="0.3">
      <c r="A66" t="s">
        <v>9</v>
      </c>
      <c r="B66" t="s">
        <v>27</v>
      </c>
      <c r="C66">
        <v>212</v>
      </c>
      <c r="D66">
        <v>15200</v>
      </c>
      <c r="E66" t="s">
        <v>13</v>
      </c>
      <c r="F66">
        <v>3</v>
      </c>
      <c r="G66" s="13" t="str">
        <f>TEXT(DATE(2000,Sales_Summary[[#This Row],[Month number]], 1), "mmmm")</f>
        <v>March</v>
      </c>
      <c r="H66" s="8">
        <v>16791</v>
      </c>
      <c r="I66" s="4">
        <v>1.1046710526315799</v>
      </c>
    </row>
    <row r="67" spans="1:9" x14ac:dyDescent="0.3">
      <c r="A67" t="s">
        <v>9</v>
      </c>
      <c r="B67" t="s">
        <v>27</v>
      </c>
      <c r="C67">
        <v>212</v>
      </c>
      <c r="D67">
        <v>15200</v>
      </c>
      <c r="E67" t="s">
        <v>14</v>
      </c>
      <c r="F67">
        <v>4</v>
      </c>
      <c r="G67" s="13" t="str">
        <f>TEXT(DATE(2000,Sales_Summary[[#This Row],[Month number]], 1), "mmmm")</f>
        <v>April</v>
      </c>
      <c r="H67" s="8">
        <v>16591</v>
      </c>
      <c r="I67" s="4">
        <v>1.0915131578947399</v>
      </c>
    </row>
    <row r="68" spans="1:9" x14ac:dyDescent="0.3">
      <c r="A68" t="s">
        <v>9</v>
      </c>
      <c r="B68" t="s">
        <v>27</v>
      </c>
      <c r="C68">
        <v>212</v>
      </c>
      <c r="D68">
        <v>15200</v>
      </c>
      <c r="E68" t="s">
        <v>15</v>
      </c>
      <c r="F68">
        <v>5</v>
      </c>
      <c r="G68" s="13" t="str">
        <f>TEXT(DATE(2000,Sales_Summary[[#This Row],[Month number]], 1), "mmmm")</f>
        <v>May</v>
      </c>
      <c r="H68" s="8">
        <v>17243</v>
      </c>
      <c r="I68" s="4">
        <v>1.1344078947368399</v>
      </c>
    </row>
    <row r="69" spans="1:9" x14ac:dyDescent="0.3">
      <c r="A69" t="s">
        <v>9</v>
      </c>
      <c r="B69" t="s">
        <v>27</v>
      </c>
      <c r="C69">
        <v>212</v>
      </c>
      <c r="D69">
        <v>15200</v>
      </c>
      <c r="E69" t="s">
        <v>16</v>
      </c>
      <c r="F69">
        <v>6</v>
      </c>
      <c r="G69" s="13" t="str">
        <f>TEXT(DATE(2000,Sales_Summary[[#This Row],[Month number]], 1), "mmmm")</f>
        <v>June</v>
      </c>
      <c r="H69" s="8">
        <v>25393</v>
      </c>
      <c r="I69" s="4">
        <v>1.67059210526316</v>
      </c>
    </row>
    <row r="70" spans="1:9" x14ac:dyDescent="0.3">
      <c r="A70" t="s">
        <v>9</v>
      </c>
      <c r="B70" t="s">
        <v>27</v>
      </c>
      <c r="C70">
        <v>212</v>
      </c>
      <c r="D70">
        <v>15200</v>
      </c>
      <c r="E70" t="s">
        <v>17</v>
      </c>
      <c r="F70">
        <v>7</v>
      </c>
      <c r="G70" s="13" t="str">
        <f>TEXT(DATE(2000,Sales_Summary[[#This Row],[Month number]], 1), "mmmm")</f>
        <v>July</v>
      </c>
      <c r="H70" s="8">
        <v>17623</v>
      </c>
      <c r="I70" s="4">
        <v>1.15940789473684</v>
      </c>
    </row>
    <row r="71" spans="1:9" x14ac:dyDescent="0.3">
      <c r="A71" t="s">
        <v>9</v>
      </c>
      <c r="B71" t="s">
        <v>27</v>
      </c>
      <c r="C71">
        <v>212</v>
      </c>
      <c r="D71">
        <v>15200</v>
      </c>
      <c r="E71" t="s">
        <v>18</v>
      </c>
      <c r="F71">
        <v>8</v>
      </c>
      <c r="G71" s="13" t="str">
        <f>TEXT(DATE(2000,Sales_Summary[[#This Row],[Month number]], 1), "mmmm")</f>
        <v>August</v>
      </c>
      <c r="H71" s="8">
        <v>20448</v>
      </c>
      <c r="I71" s="4">
        <v>1.34526315789474</v>
      </c>
    </row>
    <row r="72" spans="1:9" x14ac:dyDescent="0.3">
      <c r="A72" t="s">
        <v>9</v>
      </c>
      <c r="B72" t="s">
        <v>27</v>
      </c>
      <c r="C72">
        <v>212</v>
      </c>
      <c r="D72">
        <v>15200</v>
      </c>
      <c r="E72" t="s">
        <v>19</v>
      </c>
      <c r="F72">
        <v>9</v>
      </c>
      <c r="G72" s="13" t="str">
        <f>TEXT(DATE(2000,Sales_Summary[[#This Row],[Month number]], 1), "mmmm")</f>
        <v>September</v>
      </c>
      <c r="H72" s="8">
        <v>18307</v>
      </c>
      <c r="I72" s="4">
        <v>1.20440789473684</v>
      </c>
    </row>
    <row r="73" spans="1:9" x14ac:dyDescent="0.3">
      <c r="A73" t="s">
        <v>9</v>
      </c>
      <c r="B73" t="s">
        <v>27</v>
      </c>
      <c r="C73">
        <v>212</v>
      </c>
      <c r="D73">
        <v>15200</v>
      </c>
      <c r="E73" t="s">
        <v>20</v>
      </c>
      <c r="F73">
        <v>10</v>
      </c>
      <c r="G73" s="13" t="str">
        <f>TEXT(DATE(2000,Sales_Summary[[#This Row],[Month number]], 1), "mmmm")</f>
        <v>October</v>
      </c>
      <c r="H73" s="8">
        <v>20606</v>
      </c>
      <c r="I73" s="4">
        <v>1.3556578947368401</v>
      </c>
    </row>
    <row r="74" spans="1:9" x14ac:dyDescent="0.3">
      <c r="A74" t="s">
        <v>9</v>
      </c>
      <c r="B74" t="s">
        <v>27</v>
      </c>
      <c r="C74">
        <v>212</v>
      </c>
      <c r="D74">
        <v>15200</v>
      </c>
      <c r="E74" t="s">
        <v>21</v>
      </c>
      <c r="F74">
        <v>11</v>
      </c>
      <c r="G74" s="13" t="str">
        <f>TEXT(DATE(2000,Sales_Summary[[#This Row],[Month number]], 1), "mmmm")</f>
        <v>November</v>
      </c>
      <c r="H74" s="8">
        <v>25610</v>
      </c>
      <c r="I74" s="4">
        <v>1.6848684210526299</v>
      </c>
    </row>
    <row r="75" spans="1:9" x14ac:dyDescent="0.3">
      <c r="A75" t="s">
        <v>9</v>
      </c>
      <c r="B75" t="s">
        <v>27</v>
      </c>
      <c r="C75">
        <v>212</v>
      </c>
      <c r="D75">
        <v>15200</v>
      </c>
      <c r="E75" t="s">
        <v>22</v>
      </c>
      <c r="F75">
        <v>12</v>
      </c>
      <c r="G75" s="13" t="str">
        <f>TEXT(DATE(2000,Sales_Summary[[#This Row],[Month number]], 1), "mmmm")</f>
        <v>December</v>
      </c>
      <c r="H75" s="8">
        <v>22145</v>
      </c>
      <c r="I75" s="4">
        <v>1.4569078947368399</v>
      </c>
    </row>
    <row r="76" spans="1:9" x14ac:dyDescent="0.3">
      <c r="A76" t="s">
        <v>9</v>
      </c>
      <c r="B76" t="s">
        <v>28</v>
      </c>
      <c r="C76">
        <v>487</v>
      </c>
      <c r="D76">
        <v>3800</v>
      </c>
      <c r="E76" t="s">
        <v>11</v>
      </c>
      <c r="F76">
        <v>1</v>
      </c>
      <c r="G76" s="13" t="str">
        <f>TEXT(DATE(2000,Sales_Summary[[#This Row],[Month number]], 1), "mmmm")</f>
        <v>January</v>
      </c>
      <c r="H76" s="8">
        <v>848</v>
      </c>
      <c r="I76" s="4">
        <v>0.223157894736842</v>
      </c>
    </row>
    <row r="77" spans="1:9" x14ac:dyDescent="0.3">
      <c r="A77" t="s">
        <v>9</v>
      </c>
      <c r="B77" t="s">
        <v>28</v>
      </c>
      <c r="C77">
        <v>487</v>
      </c>
      <c r="D77">
        <v>3800</v>
      </c>
      <c r="E77" t="s">
        <v>12</v>
      </c>
      <c r="F77">
        <v>2</v>
      </c>
      <c r="G77" s="13" t="str">
        <f>TEXT(DATE(2000,Sales_Summary[[#This Row],[Month number]], 1), "mmmm")</f>
        <v>February</v>
      </c>
      <c r="H77" s="8">
        <v>2723</v>
      </c>
      <c r="I77" s="4">
        <v>0.71657894736842098</v>
      </c>
    </row>
    <row r="78" spans="1:9" x14ac:dyDescent="0.3">
      <c r="A78" t="s">
        <v>9</v>
      </c>
      <c r="B78" t="s">
        <v>28</v>
      </c>
      <c r="C78">
        <v>487</v>
      </c>
      <c r="D78">
        <v>3800</v>
      </c>
      <c r="E78" t="s">
        <v>13</v>
      </c>
      <c r="F78">
        <v>3</v>
      </c>
      <c r="G78" s="13" t="str">
        <f>TEXT(DATE(2000,Sales_Summary[[#This Row],[Month number]], 1), "mmmm")</f>
        <v>March</v>
      </c>
      <c r="H78" s="8">
        <v>2956</v>
      </c>
      <c r="I78" s="4">
        <v>0.77789473684210497</v>
      </c>
    </row>
    <row r="79" spans="1:9" x14ac:dyDescent="0.3">
      <c r="A79" t="s">
        <v>9</v>
      </c>
      <c r="B79" t="s">
        <v>28</v>
      </c>
      <c r="C79">
        <v>487</v>
      </c>
      <c r="D79">
        <v>3800</v>
      </c>
      <c r="E79" t="s">
        <v>14</v>
      </c>
      <c r="F79">
        <v>4</v>
      </c>
      <c r="G79" s="13" t="str">
        <f>TEXT(DATE(2000,Sales_Summary[[#This Row],[Month number]], 1), "mmmm")</f>
        <v>April</v>
      </c>
      <c r="H79" s="8">
        <v>3464</v>
      </c>
      <c r="I79" s="4">
        <v>0.91157894736842104</v>
      </c>
    </row>
    <row r="80" spans="1:9" x14ac:dyDescent="0.3">
      <c r="A80" t="s">
        <v>9</v>
      </c>
      <c r="B80" t="s">
        <v>28</v>
      </c>
      <c r="C80">
        <v>487</v>
      </c>
      <c r="D80">
        <v>3800</v>
      </c>
      <c r="E80" t="s">
        <v>15</v>
      </c>
      <c r="F80">
        <v>5</v>
      </c>
      <c r="G80" s="13" t="str">
        <f>TEXT(DATE(2000,Sales_Summary[[#This Row],[Month number]], 1), "mmmm")</f>
        <v>May</v>
      </c>
      <c r="H80" s="8">
        <v>2755</v>
      </c>
      <c r="I80" s="4">
        <v>0.72499999999999998</v>
      </c>
    </row>
    <row r="81" spans="1:9" x14ac:dyDescent="0.3">
      <c r="A81" t="s">
        <v>9</v>
      </c>
      <c r="B81" t="s">
        <v>28</v>
      </c>
      <c r="C81">
        <v>487</v>
      </c>
      <c r="D81">
        <v>3800</v>
      </c>
      <c r="E81" t="s">
        <v>16</v>
      </c>
      <c r="F81">
        <v>6</v>
      </c>
      <c r="G81" s="13" t="str">
        <f>TEXT(DATE(2000,Sales_Summary[[#This Row],[Month number]], 1), "mmmm")</f>
        <v>June</v>
      </c>
      <c r="H81" s="8">
        <v>3299</v>
      </c>
      <c r="I81" s="4">
        <v>0.86815789473684202</v>
      </c>
    </row>
    <row r="82" spans="1:9" x14ac:dyDescent="0.3">
      <c r="A82" t="s">
        <v>9</v>
      </c>
      <c r="B82" t="s">
        <v>28</v>
      </c>
      <c r="C82">
        <v>487</v>
      </c>
      <c r="D82">
        <v>3800</v>
      </c>
      <c r="E82" t="s">
        <v>17</v>
      </c>
      <c r="F82">
        <v>7</v>
      </c>
      <c r="G82" s="13" t="str">
        <f>TEXT(DATE(2000,Sales_Summary[[#This Row],[Month number]], 1), "mmmm")</f>
        <v>July</v>
      </c>
      <c r="H82" s="8">
        <v>3812</v>
      </c>
      <c r="I82" s="4">
        <v>1.00315789473684</v>
      </c>
    </row>
    <row r="83" spans="1:9" x14ac:dyDescent="0.3">
      <c r="A83" t="s">
        <v>9</v>
      </c>
      <c r="B83" t="s">
        <v>28</v>
      </c>
      <c r="C83">
        <v>487</v>
      </c>
      <c r="D83">
        <v>3800</v>
      </c>
      <c r="E83" t="s">
        <v>18</v>
      </c>
      <c r="F83">
        <v>8</v>
      </c>
      <c r="G83" s="13" t="str">
        <f>TEXT(DATE(2000,Sales_Summary[[#This Row],[Month number]], 1), "mmmm")</f>
        <v>August</v>
      </c>
      <c r="H83" s="8">
        <v>3562</v>
      </c>
      <c r="I83" s="4">
        <v>0.93736842105263196</v>
      </c>
    </row>
    <row r="84" spans="1:9" x14ac:dyDescent="0.3">
      <c r="A84" t="s">
        <v>9</v>
      </c>
      <c r="B84" t="s">
        <v>28</v>
      </c>
      <c r="C84">
        <v>487</v>
      </c>
      <c r="D84">
        <v>3800</v>
      </c>
      <c r="E84" t="s">
        <v>19</v>
      </c>
      <c r="F84">
        <v>9</v>
      </c>
      <c r="G84" s="13" t="str">
        <f>TEXT(DATE(2000,Sales_Summary[[#This Row],[Month number]], 1), "mmmm")</f>
        <v>September</v>
      </c>
      <c r="H84" s="8">
        <v>4291</v>
      </c>
      <c r="I84" s="4">
        <v>1.1292105263157901</v>
      </c>
    </row>
    <row r="85" spans="1:9" x14ac:dyDescent="0.3">
      <c r="A85" t="s">
        <v>9</v>
      </c>
      <c r="B85" t="s">
        <v>28</v>
      </c>
      <c r="C85">
        <v>487</v>
      </c>
      <c r="D85">
        <v>3800</v>
      </c>
      <c r="E85" t="s">
        <v>20</v>
      </c>
      <c r="F85">
        <v>10</v>
      </c>
      <c r="G85" s="13" t="str">
        <f>TEXT(DATE(2000,Sales_Summary[[#This Row],[Month number]], 1), "mmmm")</f>
        <v>October</v>
      </c>
      <c r="H85" s="8">
        <v>3150</v>
      </c>
      <c r="I85" s="4">
        <v>0.82894736842105299</v>
      </c>
    </row>
    <row r="86" spans="1:9" x14ac:dyDescent="0.3">
      <c r="A86" t="s">
        <v>9</v>
      </c>
      <c r="B86" t="s">
        <v>28</v>
      </c>
      <c r="C86">
        <v>487</v>
      </c>
      <c r="D86">
        <v>3800</v>
      </c>
      <c r="E86" t="s">
        <v>21</v>
      </c>
      <c r="F86">
        <v>11</v>
      </c>
      <c r="G86" s="13" t="str">
        <f>TEXT(DATE(2000,Sales_Summary[[#This Row],[Month number]], 1), "mmmm")</f>
        <v>November</v>
      </c>
      <c r="H86" s="8">
        <v>5024</v>
      </c>
      <c r="I86" s="4">
        <v>1.32210526315789</v>
      </c>
    </row>
    <row r="87" spans="1:9" x14ac:dyDescent="0.3">
      <c r="A87" t="s">
        <v>9</v>
      </c>
      <c r="B87" t="s">
        <v>28</v>
      </c>
      <c r="C87">
        <v>487</v>
      </c>
      <c r="D87">
        <v>3800</v>
      </c>
      <c r="E87" t="s">
        <v>22</v>
      </c>
      <c r="F87">
        <v>12</v>
      </c>
      <c r="G87" s="13" t="str">
        <f>TEXT(DATE(2000,Sales_Summary[[#This Row],[Month number]], 1), "mmmm")</f>
        <v>December</v>
      </c>
      <c r="H87" s="8">
        <v>4387</v>
      </c>
      <c r="I87" s="4">
        <v>1.1544736842105301</v>
      </c>
    </row>
    <row r="88" spans="1:9" x14ac:dyDescent="0.3">
      <c r="A88" t="s">
        <v>9</v>
      </c>
      <c r="B88" t="s">
        <v>29</v>
      </c>
      <c r="C88">
        <v>480</v>
      </c>
      <c r="D88">
        <v>22100</v>
      </c>
      <c r="E88" t="s">
        <v>11</v>
      </c>
      <c r="F88">
        <v>1</v>
      </c>
      <c r="G88" s="13" t="str">
        <f>TEXT(DATE(2000,Sales_Summary[[#This Row],[Month number]], 1), "mmmm")</f>
        <v>January</v>
      </c>
      <c r="H88" s="8">
        <v>3593</v>
      </c>
      <c r="I88" s="4">
        <v>0.16257918552036199</v>
      </c>
    </row>
    <row r="89" spans="1:9" x14ac:dyDescent="0.3">
      <c r="A89" t="s">
        <v>9</v>
      </c>
      <c r="B89" t="s">
        <v>29</v>
      </c>
      <c r="C89">
        <v>480</v>
      </c>
      <c r="D89">
        <v>22100</v>
      </c>
      <c r="E89" t="s">
        <v>12</v>
      </c>
      <c r="F89">
        <v>2</v>
      </c>
      <c r="G89" s="13" t="str">
        <f>TEXT(DATE(2000,Sales_Summary[[#This Row],[Month number]], 1), "mmmm")</f>
        <v>February</v>
      </c>
      <c r="H89" s="8">
        <v>18797</v>
      </c>
      <c r="I89" s="4">
        <v>0.85054298642533899</v>
      </c>
    </row>
    <row r="90" spans="1:9" x14ac:dyDescent="0.3">
      <c r="A90" t="s">
        <v>9</v>
      </c>
      <c r="B90" t="s">
        <v>29</v>
      </c>
      <c r="C90">
        <v>480</v>
      </c>
      <c r="D90">
        <v>22100</v>
      </c>
      <c r="E90" t="s">
        <v>13</v>
      </c>
      <c r="F90">
        <v>3</v>
      </c>
      <c r="G90" s="13" t="str">
        <f>TEXT(DATE(2000,Sales_Summary[[#This Row],[Month number]], 1), "mmmm")</f>
        <v>March</v>
      </c>
      <c r="H90" s="8">
        <v>20944</v>
      </c>
      <c r="I90" s="4">
        <v>0.94769230769230794</v>
      </c>
    </row>
    <row r="91" spans="1:9" x14ac:dyDescent="0.3">
      <c r="A91" t="s">
        <v>9</v>
      </c>
      <c r="B91" t="s">
        <v>29</v>
      </c>
      <c r="C91">
        <v>480</v>
      </c>
      <c r="D91">
        <v>22100</v>
      </c>
      <c r="E91" t="s">
        <v>14</v>
      </c>
      <c r="F91">
        <v>4</v>
      </c>
      <c r="G91" s="13" t="str">
        <f>TEXT(DATE(2000,Sales_Summary[[#This Row],[Month number]], 1), "mmmm")</f>
        <v>April</v>
      </c>
      <c r="H91" s="8">
        <v>18085</v>
      </c>
      <c r="I91" s="4">
        <v>0.81832579185520404</v>
      </c>
    </row>
    <row r="92" spans="1:9" x14ac:dyDescent="0.3">
      <c r="A92" t="s">
        <v>9</v>
      </c>
      <c r="B92" t="s">
        <v>29</v>
      </c>
      <c r="C92">
        <v>480</v>
      </c>
      <c r="D92">
        <v>22100</v>
      </c>
      <c r="E92" t="s">
        <v>15</v>
      </c>
      <c r="F92">
        <v>5</v>
      </c>
      <c r="G92" s="13" t="str">
        <f>TEXT(DATE(2000,Sales_Summary[[#This Row],[Month number]], 1), "mmmm")</f>
        <v>May</v>
      </c>
      <c r="H92" s="8">
        <v>21719</v>
      </c>
      <c r="I92" s="4">
        <v>0.98276018099547502</v>
      </c>
    </row>
    <row r="93" spans="1:9" x14ac:dyDescent="0.3">
      <c r="A93" t="s">
        <v>9</v>
      </c>
      <c r="B93" t="s">
        <v>29</v>
      </c>
      <c r="C93">
        <v>480</v>
      </c>
      <c r="D93">
        <v>22100</v>
      </c>
      <c r="E93" t="s">
        <v>16</v>
      </c>
      <c r="F93">
        <v>6</v>
      </c>
      <c r="G93" s="13" t="str">
        <f>TEXT(DATE(2000,Sales_Summary[[#This Row],[Month number]], 1), "mmmm")</f>
        <v>June</v>
      </c>
      <c r="H93" s="8">
        <v>22495</v>
      </c>
      <c r="I93" s="4">
        <v>1.0178733031674201</v>
      </c>
    </row>
    <row r="94" spans="1:9" x14ac:dyDescent="0.3">
      <c r="A94" t="s">
        <v>9</v>
      </c>
      <c r="B94" t="s">
        <v>29</v>
      </c>
      <c r="C94">
        <v>480</v>
      </c>
      <c r="D94">
        <v>22100</v>
      </c>
      <c r="E94" t="s">
        <v>17</v>
      </c>
      <c r="F94">
        <v>7</v>
      </c>
      <c r="G94" s="13" t="str">
        <f>TEXT(DATE(2000,Sales_Summary[[#This Row],[Month number]], 1), "mmmm")</f>
        <v>July</v>
      </c>
      <c r="H94" s="8">
        <v>24034</v>
      </c>
      <c r="I94" s="4">
        <v>1.08751131221719</v>
      </c>
    </row>
    <row r="95" spans="1:9" x14ac:dyDescent="0.3">
      <c r="A95" t="s">
        <v>9</v>
      </c>
      <c r="B95" t="s">
        <v>29</v>
      </c>
      <c r="C95">
        <v>480</v>
      </c>
      <c r="D95">
        <v>22100</v>
      </c>
      <c r="E95" t="s">
        <v>18</v>
      </c>
      <c r="F95">
        <v>8</v>
      </c>
      <c r="G95" s="13" t="str">
        <f>TEXT(DATE(2000,Sales_Summary[[#This Row],[Month number]], 1), "mmmm")</f>
        <v>August</v>
      </c>
      <c r="H95" s="8">
        <v>22961</v>
      </c>
      <c r="I95" s="4">
        <v>1.0389592760180999</v>
      </c>
    </row>
    <row r="96" spans="1:9" x14ac:dyDescent="0.3">
      <c r="A96" t="s">
        <v>9</v>
      </c>
      <c r="B96" t="s">
        <v>29</v>
      </c>
      <c r="C96">
        <v>480</v>
      </c>
      <c r="D96">
        <v>22100</v>
      </c>
      <c r="E96" t="s">
        <v>19</v>
      </c>
      <c r="F96">
        <v>9</v>
      </c>
      <c r="G96" s="13" t="str">
        <f>TEXT(DATE(2000,Sales_Summary[[#This Row],[Month number]], 1), "mmmm")</f>
        <v>September</v>
      </c>
      <c r="H96" s="8">
        <v>20989</v>
      </c>
      <c r="I96" s="4">
        <v>0.94972850678733001</v>
      </c>
    </row>
    <row r="97" spans="1:9" x14ac:dyDescent="0.3">
      <c r="A97" t="s">
        <v>9</v>
      </c>
      <c r="B97" t="s">
        <v>29</v>
      </c>
      <c r="C97">
        <v>480</v>
      </c>
      <c r="D97">
        <v>22100</v>
      </c>
      <c r="E97" t="s">
        <v>20</v>
      </c>
      <c r="F97">
        <v>10</v>
      </c>
      <c r="G97" s="13" t="str">
        <f>TEXT(DATE(2000,Sales_Summary[[#This Row],[Month number]], 1), "mmmm")</f>
        <v>October</v>
      </c>
      <c r="H97" s="8">
        <v>21944</v>
      </c>
      <c r="I97" s="4">
        <v>0.99294117647058799</v>
      </c>
    </row>
    <row r="98" spans="1:9" x14ac:dyDescent="0.3">
      <c r="A98" t="s">
        <v>9</v>
      </c>
      <c r="B98" t="s">
        <v>29</v>
      </c>
      <c r="C98">
        <v>480</v>
      </c>
      <c r="D98">
        <v>22100</v>
      </c>
      <c r="E98" t="s">
        <v>21</v>
      </c>
      <c r="F98">
        <v>11</v>
      </c>
      <c r="G98" s="13" t="str">
        <f>TEXT(DATE(2000,Sales_Summary[[#This Row],[Month number]], 1), "mmmm")</f>
        <v>November</v>
      </c>
      <c r="H98" s="8">
        <v>24058</v>
      </c>
      <c r="I98" s="4">
        <v>1.08859728506787</v>
      </c>
    </row>
    <row r="99" spans="1:9" x14ac:dyDescent="0.3">
      <c r="A99" t="s">
        <v>9</v>
      </c>
      <c r="B99" t="s">
        <v>29</v>
      </c>
      <c r="C99">
        <v>480</v>
      </c>
      <c r="D99">
        <v>22100</v>
      </c>
      <c r="E99" t="s">
        <v>22</v>
      </c>
      <c r="F99">
        <v>12</v>
      </c>
      <c r="G99" s="13" t="str">
        <f>TEXT(DATE(2000,Sales_Summary[[#This Row],[Month number]], 1), "mmmm")</f>
        <v>December</v>
      </c>
      <c r="H99" s="8">
        <v>23626</v>
      </c>
      <c r="I99" s="4">
        <v>1.0690497737556599</v>
      </c>
    </row>
    <row r="100" spans="1:9" x14ac:dyDescent="0.3">
      <c r="A100" t="s">
        <v>30</v>
      </c>
      <c r="B100" t="s">
        <v>31</v>
      </c>
      <c r="C100">
        <v>344</v>
      </c>
      <c r="D100">
        <v>506400</v>
      </c>
      <c r="E100" t="s">
        <v>11</v>
      </c>
      <c r="F100">
        <v>1</v>
      </c>
      <c r="G100" s="13" t="str">
        <f>TEXT(DATE(2000,Sales_Summary[[#This Row],[Month number]], 1), "mmmm")</f>
        <v>January</v>
      </c>
      <c r="H100" s="8">
        <v>370066</v>
      </c>
      <c r="I100" s="4">
        <v>0.73077804107425004</v>
      </c>
    </row>
    <row r="101" spans="1:9" x14ac:dyDescent="0.3">
      <c r="A101" t="s">
        <v>30</v>
      </c>
      <c r="B101" t="s">
        <v>31</v>
      </c>
      <c r="C101">
        <v>344</v>
      </c>
      <c r="D101">
        <v>506400</v>
      </c>
      <c r="E101" t="s">
        <v>12</v>
      </c>
      <c r="F101">
        <v>2</v>
      </c>
      <c r="G101" s="13" t="str">
        <f>TEXT(DATE(2000,Sales_Summary[[#This Row],[Month number]], 1), "mmmm")</f>
        <v>February</v>
      </c>
      <c r="H101" s="8">
        <v>326747</v>
      </c>
      <c r="I101" s="4">
        <v>0.64523499210110602</v>
      </c>
    </row>
    <row r="102" spans="1:9" x14ac:dyDescent="0.3">
      <c r="A102" t="s">
        <v>30</v>
      </c>
      <c r="B102" t="s">
        <v>31</v>
      </c>
      <c r="C102">
        <v>344</v>
      </c>
      <c r="D102">
        <v>506400</v>
      </c>
      <c r="E102" t="s">
        <v>13</v>
      </c>
      <c r="F102">
        <v>3</v>
      </c>
      <c r="G102" s="13" t="str">
        <f>TEXT(DATE(2000,Sales_Summary[[#This Row],[Month number]], 1), "mmmm")</f>
        <v>March</v>
      </c>
      <c r="H102" s="8">
        <v>384772</v>
      </c>
      <c r="I102" s="4">
        <v>0.75981832543443895</v>
      </c>
    </row>
    <row r="103" spans="1:9" x14ac:dyDescent="0.3">
      <c r="A103" t="s">
        <v>30</v>
      </c>
      <c r="B103" t="s">
        <v>31</v>
      </c>
      <c r="C103">
        <v>344</v>
      </c>
      <c r="D103">
        <v>506400</v>
      </c>
      <c r="E103" t="s">
        <v>14</v>
      </c>
      <c r="F103">
        <v>4</v>
      </c>
      <c r="G103" s="13" t="str">
        <f>TEXT(DATE(2000,Sales_Summary[[#This Row],[Month number]], 1), "mmmm")</f>
        <v>April</v>
      </c>
      <c r="H103" s="8">
        <v>439783</v>
      </c>
      <c r="I103" s="4">
        <v>0.86844984202211695</v>
      </c>
    </row>
    <row r="104" spans="1:9" x14ac:dyDescent="0.3">
      <c r="A104" t="s">
        <v>30</v>
      </c>
      <c r="B104" t="s">
        <v>31</v>
      </c>
      <c r="C104">
        <v>344</v>
      </c>
      <c r="D104">
        <v>506400</v>
      </c>
      <c r="E104" t="s">
        <v>15</v>
      </c>
      <c r="F104">
        <v>5</v>
      </c>
      <c r="G104" s="13" t="str">
        <f>TEXT(DATE(2000,Sales_Summary[[#This Row],[Month number]], 1), "mmmm")</f>
        <v>May</v>
      </c>
      <c r="H104" s="8">
        <v>458484</v>
      </c>
      <c r="I104" s="4">
        <v>0.905379146919431</v>
      </c>
    </row>
    <row r="105" spans="1:9" x14ac:dyDescent="0.3">
      <c r="A105" t="s">
        <v>30</v>
      </c>
      <c r="B105" t="s">
        <v>31</v>
      </c>
      <c r="C105">
        <v>344</v>
      </c>
      <c r="D105">
        <v>506400</v>
      </c>
      <c r="E105" t="s">
        <v>16</v>
      </c>
      <c r="F105">
        <v>6</v>
      </c>
      <c r="G105" s="13" t="str">
        <f>TEXT(DATE(2000,Sales_Summary[[#This Row],[Month number]], 1), "mmmm")</f>
        <v>June</v>
      </c>
      <c r="H105" s="8">
        <v>619417</v>
      </c>
      <c r="I105" s="4">
        <v>1.2231773301737801</v>
      </c>
    </row>
    <row r="106" spans="1:9" x14ac:dyDescent="0.3">
      <c r="A106" t="s">
        <v>30</v>
      </c>
      <c r="B106" t="s">
        <v>31</v>
      </c>
      <c r="C106">
        <v>344</v>
      </c>
      <c r="D106">
        <v>506400</v>
      </c>
      <c r="E106" t="s">
        <v>17</v>
      </c>
      <c r="F106">
        <v>7</v>
      </c>
      <c r="G106" s="13" t="str">
        <f>TEXT(DATE(2000,Sales_Summary[[#This Row],[Month number]], 1), "mmmm")</f>
        <v>July</v>
      </c>
      <c r="H106" s="8">
        <v>524309</v>
      </c>
      <c r="I106" s="4">
        <v>1.0353653238546601</v>
      </c>
    </row>
    <row r="107" spans="1:9" x14ac:dyDescent="0.3">
      <c r="A107" t="s">
        <v>30</v>
      </c>
      <c r="B107" t="s">
        <v>31</v>
      </c>
      <c r="C107">
        <v>344</v>
      </c>
      <c r="D107">
        <v>506400</v>
      </c>
      <c r="E107" t="s">
        <v>18</v>
      </c>
      <c r="F107">
        <v>8</v>
      </c>
      <c r="G107" s="13" t="str">
        <f>TEXT(DATE(2000,Sales_Summary[[#This Row],[Month number]], 1), "mmmm")</f>
        <v>August</v>
      </c>
      <c r="H107" s="8">
        <v>647009</v>
      </c>
      <c r="I107" s="4">
        <v>1.2776639020537099</v>
      </c>
    </row>
    <row r="108" spans="1:9" x14ac:dyDescent="0.3">
      <c r="A108" t="s">
        <v>30</v>
      </c>
      <c r="B108" t="s">
        <v>31</v>
      </c>
      <c r="C108">
        <v>344</v>
      </c>
      <c r="D108">
        <v>506400</v>
      </c>
      <c r="E108" t="s">
        <v>19</v>
      </c>
      <c r="F108">
        <v>9</v>
      </c>
      <c r="G108" s="13" t="str">
        <f>TEXT(DATE(2000,Sales_Summary[[#This Row],[Month number]], 1), "mmmm")</f>
        <v>September</v>
      </c>
      <c r="H108" s="8">
        <v>557329</v>
      </c>
      <c r="I108" s="4">
        <v>1.1005706951026899</v>
      </c>
    </row>
    <row r="109" spans="1:9" x14ac:dyDescent="0.3">
      <c r="A109" t="s">
        <v>30</v>
      </c>
      <c r="B109" t="s">
        <v>31</v>
      </c>
      <c r="C109">
        <v>344</v>
      </c>
      <c r="D109">
        <v>506400</v>
      </c>
      <c r="E109" t="s">
        <v>20</v>
      </c>
      <c r="F109">
        <v>10</v>
      </c>
      <c r="G109" s="13" t="str">
        <f>TEXT(DATE(2000,Sales_Summary[[#This Row],[Month number]], 1), "mmmm")</f>
        <v>October</v>
      </c>
      <c r="H109" s="8">
        <v>614993</v>
      </c>
      <c r="I109" s="4">
        <v>1.21444115323855</v>
      </c>
    </row>
    <row r="110" spans="1:9" x14ac:dyDescent="0.3">
      <c r="A110" t="s">
        <v>30</v>
      </c>
      <c r="B110" t="s">
        <v>31</v>
      </c>
      <c r="C110">
        <v>344</v>
      </c>
      <c r="D110">
        <v>506400</v>
      </c>
      <c r="E110" t="s">
        <v>21</v>
      </c>
      <c r="F110">
        <v>11</v>
      </c>
      <c r="G110" s="13" t="str">
        <f>TEXT(DATE(2000,Sales_Summary[[#This Row],[Month number]], 1), "mmmm")</f>
        <v>November</v>
      </c>
      <c r="H110" s="8">
        <v>802792</v>
      </c>
      <c r="I110" s="4">
        <v>1.5852922590837299</v>
      </c>
    </row>
    <row r="111" spans="1:9" x14ac:dyDescent="0.3">
      <c r="A111" t="s">
        <v>30</v>
      </c>
      <c r="B111" t="s">
        <v>31</v>
      </c>
      <c r="C111">
        <v>344</v>
      </c>
      <c r="D111">
        <v>506400</v>
      </c>
      <c r="E111" t="s">
        <v>22</v>
      </c>
      <c r="F111">
        <v>12</v>
      </c>
      <c r="G111" s="13" t="str">
        <f>TEXT(DATE(2000,Sales_Summary[[#This Row],[Month number]], 1), "mmmm")</f>
        <v>December</v>
      </c>
      <c r="H111" s="8">
        <v>788195</v>
      </c>
      <c r="I111" s="4">
        <v>1.5564672195892599</v>
      </c>
    </row>
    <row r="112" spans="1:9" x14ac:dyDescent="0.3">
      <c r="A112" t="s">
        <v>30</v>
      </c>
      <c r="B112" t="s">
        <v>32</v>
      </c>
      <c r="C112">
        <v>310</v>
      </c>
      <c r="D112">
        <v>376800</v>
      </c>
      <c r="E112" t="s">
        <v>11</v>
      </c>
      <c r="F112">
        <v>1</v>
      </c>
      <c r="G112" s="13" t="str">
        <f>TEXT(DATE(2000,Sales_Summary[[#This Row],[Month number]], 1), "mmmm")</f>
        <v>January</v>
      </c>
      <c r="H112" s="8">
        <v>346256</v>
      </c>
      <c r="I112" s="4">
        <v>0.91893842887473498</v>
      </c>
    </row>
    <row r="113" spans="1:9" x14ac:dyDescent="0.3">
      <c r="A113" t="s">
        <v>30</v>
      </c>
      <c r="B113" t="s">
        <v>32</v>
      </c>
      <c r="C113">
        <v>310</v>
      </c>
      <c r="D113">
        <v>376800</v>
      </c>
      <c r="E113" t="s">
        <v>12</v>
      </c>
      <c r="F113">
        <v>2</v>
      </c>
      <c r="G113" s="13" t="str">
        <f>TEXT(DATE(2000,Sales_Summary[[#This Row],[Month number]], 1), "mmmm")</f>
        <v>February</v>
      </c>
      <c r="H113" s="8">
        <v>289485</v>
      </c>
      <c r="I113" s="4">
        <v>0.76827229299362998</v>
      </c>
    </row>
    <row r="114" spans="1:9" x14ac:dyDescent="0.3">
      <c r="A114" t="s">
        <v>30</v>
      </c>
      <c r="B114" t="s">
        <v>32</v>
      </c>
      <c r="C114">
        <v>310</v>
      </c>
      <c r="D114">
        <v>376800</v>
      </c>
      <c r="E114" t="s">
        <v>13</v>
      </c>
      <c r="F114">
        <v>3</v>
      </c>
      <c r="G114" s="13" t="str">
        <f>TEXT(DATE(2000,Sales_Summary[[#This Row],[Month number]], 1), "mmmm")</f>
        <v>March</v>
      </c>
      <c r="H114" s="8">
        <v>355058</v>
      </c>
      <c r="I114" s="4">
        <v>0.94229830148619997</v>
      </c>
    </row>
    <row r="115" spans="1:9" x14ac:dyDescent="0.3">
      <c r="A115" t="s">
        <v>30</v>
      </c>
      <c r="B115" t="s">
        <v>32</v>
      </c>
      <c r="C115">
        <v>310</v>
      </c>
      <c r="D115">
        <v>376800</v>
      </c>
      <c r="E115" t="s">
        <v>14</v>
      </c>
      <c r="F115">
        <v>4</v>
      </c>
      <c r="G115" s="13" t="str">
        <f>TEXT(DATE(2000,Sales_Summary[[#This Row],[Month number]], 1), "mmmm")</f>
        <v>April</v>
      </c>
      <c r="H115" s="8">
        <v>346744</v>
      </c>
      <c r="I115" s="4">
        <v>0.92023354564755799</v>
      </c>
    </row>
    <row r="116" spans="1:9" x14ac:dyDescent="0.3">
      <c r="A116" t="s">
        <v>30</v>
      </c>
      <c r="B116" t="s">
        <v>32</v>
      </c>
      <c r="C116">
        <v>310</v>
      </c>
      <c r="D116">
        <v>376800</v>
      </c>
      <c r="E116" t="s">
        <v>15</v>
      </c>
      <c r="F116">
        <v>5</v>
      </c>
      <c r="G116" s="13" t="str">
        <f>TEXT(DATE(2000,Sales_Summary[[#This Row],[Month number]], 1), "mmmm")</f>
        <v>May</v>
      </c>
      <c r="H116" s="8">
        <v>399652</v>
      </c>
      <c r="I116" s="4">
        <v>1.0606475583864099</v>
      </c>
    </row>
    <row r="117" spans="1:9" x14ac:dyDescent="0.3">
      <c r="A117" t="s">
        <v>30</v>
      </c>
      <c r="B117" t="s">
        <v>32</v>
      </c>
      <c r="C117">
        <v>310</v>
      </c>
      <c r="D117">
        <v>376800</v>
      </c>
      <c r="E117" t="s">
        <v>16</v>
      </c>
      <c r="F117">
        <v>6</v>
      </c>
      <c r="G117" s="13" t="str">
        <f>TEXT(DATE(2000,Sales_Summary[[#This Row],[Month number]], 1), "mmmm")</f>
        <v>June</v>
      </c>
      <c r="H117" s="8">
        <v>546053</v>
      </c>
      <c r="I117" s="4">
        <v>1.44918524416136</v>
      </c>
    </row>
    <row r="118" spans="1:9" x14ac:dyDescent="0.3">
      <c r="A118" t="s">
        <v>30</v>
      </c>
      <c r="B118" t="s">
        <v>32</v>
      </c>
      <c r="C118">
        <v>310</v>
      </c>
      <c r="D118">
        <v>376800</v>
      </c>
      <c r="E118" t="s">
        <v>17</v>
      </c>
      <c r="F118">
        <v>7</v>
      </c>
      <c r="G118" s="13" t="str">
        <f>TEXT(DATE(2000,Sales_Summary[[#This Row],[Month number]], 1), "mmmm")</f>
        <v>July</v>
      </c>
      <c r="H118" s="8">
        <v>440998</v>
      </c>
      <c r="I118" s="4">
        <v>1.17037685774947</v>
      </c>
    </row>
    <row r="119" spans="1:9" x14ac:dyDescent="0.3">
      <c r="A119" t="s">
        <v>30</v>
      </c>
      <c r="B119" t="s">
        <v>32</v>
      </c>
      <c r="C119">
        <v>310</v>
      </c>
      <c r="D119">
        <v>376800</v>
      </c>
      <c r="E119" t="s">
        <v>18</v>
      </c>
      <c r="F119">
        <v>8</v>
      </c>
      <c r="G119" s="13" t="str">
        <f>TEXT(DATE(2000,Sales_Summary[[#This Row],[Month number]], 1), "mmmm")</f>
        <v>August</v>
      </c>
      <c r="H119" s="8">
        <v>432361</v>
      </c>
      <c r="I119" s="4">
        <v>1.14745488322718</v>
      </c>
    </row>
    <row r="120" spans="1:9" x14ac:dyDescent="0.3">
      <c r="A120" t="s">
        <v>30</v>
      </c>
      <c r="B120" t="s">
        <v>32</v>
      </c>
      <c r="C120">
        <v>310</v>
      </c>
      <c r="D120">
        <v>376800</v>
      </c>
      <c r="E120" t="s">
        <v>19</v>
      </c>
      <c r="F120">
        <v>9</v>
      </c>
      <c r="G120" s="13" t="str">
        <f>TEXT(DATE(2000,Sales_Summary[[#This Row],[Month number]], 1), "mmmm")</f>
        <v>September</v>
      </c>
      <c r="H120" s="8">
        <v>468533</v>
      </c>
      <c r="I120" s="4">
        <v>1.2434527600849301</v>
      </c>
    </row>
    <row r="121" spans="1:9" x14ac:dyDescent="0.3">
      <c r="A121" t="s">
        <v>30</v>
      </c>
      <c r="B121" t="s">
        <v>32</v>
      </c>
      <c r="C121">
        <v>310</v>
      </c>
      <c r="D121">
        <v>376800</v>
      </c>
      <c r="E121" t="s">
        <v>20</v>
      </c>
      <c r="F121">
        <v>10</v>
      </c>
      <c r="G121" s="13" t="str">
        <f>TEXT(DATE(2000,Sales_Summary[[#This Row],[Month number]], 1), "mmmm")</f>
        <v>October</v>
      </c>
      <c r="H121" s="8">
        <v>483874</v>
      </c>
      <c r="I121" s="4">
        <v>1.28416666666667</v>
      </c>
    </row>
    <row r="122" spans="1:9" x14ac:dyDescent="0.3">
      <c r="A122" t="s">
        <v>30</v>
      </c>
      <c r="B122" t="s">
        <v>32</v>
      </c>
      <c r="C122">
        <v>310</v>
      </c>
      <c r="D122">
        <v>376800</v>
      </c>
      <c r="E122" t="s">
        <v>21</v>
      </c>
      <c r="F122">
        <v>11</v>
      </c>
      <c r="G122" s="13" t="str">
        <f>TEXT(DATE(2000,Sales_Summary[[#This Row],[Month number]], 1), "mmmm")</f>
        <v>November</v>
      </c>
      <c r="H122" s="8">
        <v>558193</v>
      </c>
      <c r="I122" s="4">
        <v>1.4814039278131601</v>
      </c>
    </row>
    <row r="123" spans="1:9" x14ac:dyDescent="0.3">
      <c r="A123" t="s">
        <v>30</v>
      </c>
      <c r="B123" t="s">
        <v>32</v>
      </c>
      <c r="C123">
        <v>310</v>
      </c>
      <c r="D123">
        <v>376800</v>
      </c>
      <c r="E123" t="s">
        <v>22</v>
      </c>
      <c r="F123">
        <v>12</v>
      </c>
      <c r="G123" s="13" t="str">
        <f>TEXT(DATE(2000,Sales_Summary[[#This Row],[Month number]], 1), "mmmm")</f>
        <v>December</v>
      </c>
      <c r="H123" s="8">
        <v>590222</v>
      </c>
      <c r="I123" s="4">
        <v>1.56640658174098</v>
      </c>
    </row>
    <row r="124" spans="1:9" x14ac:dyDescent="0.3">
      <c r="A124" t="s">
        <v>30</v>
      </c>
      <c r="B124" t="s">
        <v>33</v>
      </c>
      <c r="C124">
        <v>560</v>
      </c>
      <c r="D124">
        <v>375200</v>
      </c>
      <c r="E124" t="s">
        <v>11</v>
      </c>
      <c r="F124">
        <v>1</v>
      </c>
      <c r="G124" s="13" t="str">
        <f>TEXT(DATE(2000,Sales_Summary[[#This Row],[Month number]], 1), "mmmm")</f>
        <v>January</v>
      </c>
      <c r="H124" s="8">
        <v>133592</v>
      </c>
      <c r="I124" s="4">
        <v>0.35605543710021298</v>
      </c>
    </row>
    <row r="125" spans="1:9" x14ac:dyDescent="0.3">
      <c r="A125" t="s">
        <v>30</v>
      </c>
      <c r="B125" t="s">
        <v>33</v>
      </c>
      <c r="C125">
        <v>560</v>
      </c>
      <c r="D125">
        <v>375200</v>
      </c>
      <c r="E125" t="s">
        <v>12</v>
      </c>
      <c r="F125">
        <v>2</v>
      </c>
      <c r="G125" s="13" t="str">
        <f>TEXT(DATE(2000,Sales_Summary[[#This Row],[Month number]], 1), "mmmm")</f>
        <v>February</v>
      </c>
      <c r="H125" s="8">
        <v>165902</v>
      </c>
      <c r="I125" s="4">
        <v>0.44216950959488299</v>
      </c>
    </row>
    <row r="126" spans="1:9" x14ac:dyDescent="0.3">
      <c r="A126" t="s">
        <v>30</v>
      </c>
      <c r="B126" t="s">
        <v>33</v>
      </c>
      <c r="C126">
        <v>560</v>
      </c>
      <c r="D126">
        <v>375200</v>
      </c>
      <c r="E126" t="s">
        <v>13</v>
      </c>
      <c r="F126">
        <v>3</v>
      </c>
      <c r="G126" s="13" t="str">
        <f>TEXT(DATE(2000,Sales_Summary[[#This Row],[Month number]], 1), "mmmm")</f>
        <v>March</v>
      </c>
      <c r="H126" s="8">
        <v>178248</v>
      </c>
      <c r="I126" s="4">
        <v>0.47507462686567198</v>
      </c>
    </row>
    <row r="127" spans="1:9" x14ac:dyDescent="0.3">
      <c r="A127" t="s">
        <v>30</v>
      </c>
      <c r="B127" t="s">
        <v>33</v>
      </c>
      <c r="C127">
        <v>560</v>
      </c>
      <c r="D127">
        <v>375200</v>
      </c>
      <c r="E127" t="s">
        <v>14</v>
      </c>
      <c r="F127">
        <v>4</v>
      </c>
      <c r="G127" s="13" t="str">
        <f>TEXT(DATE(2000,Sales_Summary[[#This Row],[Month number]], 1), "mmmm")</f>
        <v>April</v>
      </c>
      <c r="H127" s="8">
        <v>265862</v>
      </c>
      <c r="I127" s="4">
        <v>0.70858742004264397</v>
      </c>
    </row>
    <row r="128" spans="1:9" x14ac:dyDescent="0.3">
      <c r="A128" t="s">
        <v>30</v>
      </c>
      <c r="B128" t="s">
        <v>33</v>
      </c>
      <c r="C128">
        <v>560</v>
      </c>
      <c r="D128">
        <v>375200</v>
      </c>
      <c r="E128" t="s">
        <v>15</v>
      </c>
      <c r="F128">
        <v>5</v>
      </c>
      <c r="G128" s="13" t="str">
        <f>TEXT(DATE(2000,Sales_Summary[[#This Row],[Month number]], 1), "mmmm")</f>
        <v>May</v>
      </c>
      <c r="H128" s="8">
        <v>286591</v>
      </c>
      <c r="I128" s="4">
        <v>0.76383528784648203</v>
      </c>
    </row>
    <row r="129" spans="1:9" x14ac:dyDescent="0.3">
      <c r="A129" t="s">
        <v>30</v>
      </c>
      <c r="B129" t="s">
        <v>33</v>
      </c>
      <c r="C129">
        <v>560</v>
      </c>
      <c r="D129">
        <v>375200</v>
      </c>
      <c r="E129" t="s">
        <v>16</v>
      </c>
      <c r="F129">
        <v>6</v>
      </c>
      <c r="G129" s="13" t="str">
        <f>TEXT(DATE(2000,Sales_Summary[[#This Row],[Month number]], 1), "mmmm")</f>
        <v>June</v>
      </c>
      <c r="H129" s="8">
        <v>445231</v>
      </c>
      <c r="I129" s="4">
        <v>1.18664978678038</v>
      </c>
    </row>
    <row r="130" spans="1:9" x14ac:dyDescent="0.3">
      <c r="A130" t="s">
        <v>30</v>
      </c>
      <c r="B130" t="s">
        <v>33</v>
      </c>
      <c r="C130">
        <v>560</v>
      </c>
      <c r="D130">
        <v>375200</v>
      </c>
      <c r="E130" t="s">
        <v>17</v>
      </c>
      <c r="F130">
        <v>7</v>
      </c>
      <c r="G130" s="13" t="str">
        <f>TEXT(DATE(2000,Sales_Summary[[#This Row],[Month number]], 1), "mmmm")</f>
        <v>July</v>
      </c>
      <c r="H130" s="8">
        <v>299067</v>
      </c>
      <c r="I130" s="4">
        <v>0.79708688699360397</v>
      </c>
    </row>
    <row r="131" spans="1:9" x14ac:dyDescent="0.3">
      <c r="A131" t="s">
        <v>30</v>
      </c>
      <c r="B131" t="s">
        <v>33</v>
      </c>
      <c r="C131">
        <v>560</v>
      </c>
      <c r="D131">
        <v>375200</v>
      </c>
      <c r="E131" t="s">
        <v>18</v>
      </c>
      <c r="F131">
        <v>8</v>
      </c>
      <c r="G131" s="13" t="str">
        <f>TEXT(DATE(2000,Sales_Summary[[#This Row],[Month number]], 1), "mmmm")</f>
        <v>August</v>
      </c>
      <c r="H131" s="8">
        <v>407030</v>
      </c>
      <c r="I131" s="4">
        <v>1.08483475479744</v>
      </c>
    </row>
    <row r="132" spans="1:9" x14ac:dyDescent="0.3">
      <c r="A132" t="s">
        <v>30</v>
      </c>
      <c r="B132" t="s">
        <v>33</v>
      </c>
      <c r="C132">
        <v>560</v>
      </c>
      <c r="D132">
        <v>375200</v>
      </c>
      <c r="E132" t="s">
        <v>19</v>
      </c>
      <c r="F132">
        <v>9</v>
      </c>
      <c r="G132" s="13" t="str">
        <f>TEXT(DATE(2000,Sales_Summary[[#This Row],[Month number]], 1), "mmmm")</f>
        <v>September</v>
      </c>
      <c r="H132" s="8">
        <v>391541</v>
      </c>
      <c r="I132" s="4">
        <v>1.0435527718550099</v>
      </c>
    </row>
    <row r="133" spans="1:9" x14ac:dyDescent="0.3">
      <c r="A133" t="s">
        <v>30</v>
      </c>
      <c r="B133" t="s">
        <v>33</v>
      </c>
      <c r="C133">
        <v>560</v>
      </c>
      <c r="D133">
        <v>375200</v>
      </c>
      <c r="E133" t="s">
        <v>20</v>
      </c>
      <c r="F133">
        <v>10</v>
      </c>
      <c r="G133" s="13" t="str">
        <f>TEXT(DATE(2000,Sales_Summary[[#This Row],[Month number]], 1), "mmmm")</f>
        <v>October</v>
      </c>
      <c r="H133" s="8">
        <v>481277</v>
      </c>
      <c r="I133" s="4">
        <v>1.2827212153518099</v>
      </c>
    </row>
    <row r="134" spans="1:9" x14ac:dyDescent="0.3">
      <c r="A134" t="s">
        <v>30</v>
      </c>
      <c r="B134" t="s">
        <v>33</v>
      </c>
      <c r="C134">
        <v>560</v>
      </c>
      <c r="D134">
        <v>375200</v>
      </c>
      <c r="E134" t="s">
        <v>21</v>
      </c>
      <c r="F134">
        <v>11</v>
      </c>
      <c r="G134" s="13" t="str">
        <f>TEXT(DATE(2000,Sales_Summary[[#This Row],[Month number]], 1), "mmmm")</f>
        <v>November</v>
      </c>
      <c r="H134" s="8">
        <v>506372</v>
      </c>
      <c r="I134" s="4">
        <v>1.3496055437100201</v>
      </c>
    </row>
    <row r="135" spans="1:9" x14ac:dyDescent="0.3">
      <c r="A135" t="s">
        <v>30</v>
      </c>
      <c r="B135" t="s">
        <v>33</v>
      </c>
      <c r="C135">
        <v>560</v>
      </c>
      <c r="D135">
        <v>375200</v>
      </c>
      <c r="E135" t="s">
        <v>22</v>
      </c>
      <c r="F135">
        <v>12</v>
      </c>
      <c r="G135" s="13" t="str">
        <f>TEXT(DATE(2000,Sales_Summary[[#This Row],[Month number]], 1), "mmmm")</f>
        <v>December</v>
      </c>
      <c r="H135" s="8">
        <v>494784</v>
      </c>
      <c r="I135" s="4">
        <v>1.31872068230277</v>
      </c>
    </row>
    <row r="136" spans="1:9" x14ac:dyDescent="0.3">
      <c r="A136" t="s">
        <v>34</v>
      </c>
      <c r="B136" t="s">
        <v>35</v>
      </c>
      <c r="C136">
        <v>223</v>
      </c>
      <c r="D136">
        <v>1600</v>
      </c>
      <c r="E136" t="s">
        <v>11</v>
      </c>
      <c r="F136">
        <v>1</v>
      </c>
      <c r="G136" s="13" t="str">
        <f>TEXT(DATE(2000,Sales_Summary[[#This Row],[Month number]], 1), "mmmm")</f>
        <v>January</v>
      </c>
      <c r="H136" s="8">
        <v>518</v>
      </c>
      <c r="I136" s="4">
        <v>0.32374999999999998</v>
      </c>
    </row>
    <row r="137" spans="1:9" x14ac:dyDescent="0.3">
      <c r="A137" t="s">
        <v>34</v>
      </c>
      <c r="B137" t="s">
        <v>35</v>
      </c>
      <c r="C137">
        <v>223</v>
      </c>
      <c r="D137">
        <v>1600</v>
      </c>
      <c r="E137" t="s">
        <v>12</v>
      </c>
      <c r="F137">
        <v>2</v>
      </c>
      <c r="G137" s="13" t="str">
        <f>TEXT(DATE(2000,Sales_Summary[[#This Row],[Month number]], 1), "mmmm")</f>
        <v>February</v>
      </c>
      <c r="H137" s="8">
        <v>1734</v>
      </c>
      <c r="I137" s="4">
        <v>1.08375</v>
      </c>
    </row>
    <row r="138" spans="1:9" x14ac:dyDescent="0.3">
      <c r="A138" t="s">
        <v>34</v>
      </c>
      <c r="B138" t="s">
        <v>35</v>
      </c>
      <c r="C138">
        <v>223</v>
      </c>
      <c r="D138">
        <v>1600</v>
      </c>
      <c r="E138" t="s">
        <v>13</v>
      </c>
      <c r="F138">
        <v>3</v>
      </c>
      <c r="G138" s="13" t="str">
        <f>TEXT(DATE(2000,Sales_Summary[[#This Row],[Month number]], 1), "mmmm")</f>
        <v>March</v>
      </c>
      <c r="H138" s="8">
        <v>1501</v>
      </c>
      <c r="I138" s="4">
        <v>0.93812499999999999</v>
      </c>
    </row>
    <row r="139" spans="1:9" x14ac:dyDescent="0.3">
      <c r="A139" t="s">
        <v>34</v>
      </c>
      <c r="B139" t="s">
        <v>35</v>
      </c>
      <c r="C139">
        <v>223</v>
      </c>
      <c r="D139">
        <v>1600</v>
      </c>
      <c r="E139" t="s">
        <v>14</v>
      </c>
      <c r="F139">
        <v>4</v>
      </c>
      <c r="G139" s="13" t="str">
        <f>TEXT(DATE(2000,Sales_Summary[[#This Row],[Month number]], 1), "mmmm")</f>
        <v>April</v>
      </c>
      <c r="H139" s="8">
        <v>1118</v>
      </c>
      <c r="I139" s="4">
        <v>0.69874999999999998</v>
      </c>
    </row>
    <row r="140" spans="1:9" x14ac:dyDescent="0.3">
      <c r="A140" t="s">
        <v>34</v>
      </c>
      <c r="B140" t="s">
        <v>35</v>
      </c>
      <c r="C140">
        <v>223</v>
      </c>
      <c r="D140">
        <v>1600</v>
      </c>
      <c r="E140" t="s">
        <v>15</v>
      </c>
      <c r="F140">
        <v>5</v>
      </c>
      <c r="G140" s="13" t="str">
        <f>TEXT(DATE(2000,Sales_Summary[[#This Row],[Month number]], 1), "mmmm")</f>
        <v>May</v>
      </c>
      <c r="H140" s="8">
        <v>1768</v>
      </c>
      <c r="I140" s="4">
        <v>1.105</v>
      </c>
    </row>
    <row r="141" spans="1:9" x14ac:dyDescent="0.3">
      <c r="A141" t="s">
        <v>34</v>
      </c>
      <c r="B141" t="s">
        <v>35</v>
      </c>
      <c r="C141">
        <v>223</v>
      </c>
      <c r="D141">
        <v>1600</v>
      </c>
      <c r="E141" t="s">
        <v>16</v>
      </c>
      <c r="F141">
        <v>6</v>
      </c>
      <c r="G141" s="13" t="str">
        <f>TEXT(DATE(2000,Sales_Summary[[#This Row],[Month number]], 1), "mmmm")</f>
        <v>June</v>
      </c>
      <c r="H141" s="8">
        <v>2219</v>
      </c>
      <c r="I141" s="4">
        <v>1.3868750000000001</v>
      </c>
    </row>
    <row r="142" spans="1:9" x14ac:dyDescent="0.3">
      <c r="A142" t="s">
        <v>34</v>
      </c>
      <c r="B142" t="s">
        <v>35</v>
      </c>
      <c r="C142">
        <v>223</v>
      </c>
      <c r="D142">
        <v>1600</v>
      </c>
      <c r="E142" t="s">
        <v>17</v>
      </c>
      <c r="F142">
        <v>7</v>
      </c>
      <c r="G142" s="13" t="str">
        <f>TEXT(DATE(2000,Sales_Summary[[#This Row],[Month number]], 1), "mmmm")</f>
        <v>July</v>
      </c>
      <c r="H142" s="8">
        <v>1627</v>
      </c>
      <c r="I142" s="4">
        <v>1.016875</v>
      </c>
    </row>
    <row r="143" spans="1:9" x14ac:dyDescent="0.3">
      <c r="A143" t="s">
        <v>34</v>
      </c>
      <c r="B143" t="s">
        <v>35</v>
      </c>
      <c r="C143">
        <v>223</v>
      </c>
      <c r="D143">
        <v>1600</v>
      </c>
      <c r="E143" t="s">
        <v>18</v>
      </c>
      <c r="F143">
        <v>8</v>
      </c>
      <c r="G143" s="13" t="str">
        <f>TEXT(DATE(2000,Sales_Summary[[#This Row],[Month number]], 1), "mmmm")</f>
        <v>August</v>
      </c>
      <c r="H143" s="8">
        <v>2104</v>
      </c>
      <c r="I143" s="4">
        <v>1.3149999999999999</v>
      </c>
    </row>
    <row r="144" spans="1:9" x14ac:dyDescent="0.3">
      <c r="A144" t="s">
        <v>34</v>
      </c>
      <c r="B144" t="s">
        <v>35</v>
      </c>
      <c r="C144">
        <v>223</v>
      </c>
      <c r="D144">
        <v>1600</v>
      </c>
      <c r="E144" t="s">
        <v>19</v>
      </c>
      <c r="F144">
        <v>9</v>
      </c>
      <c r="G144" s="13" t="str">
        <f>TEXT(DATE(2000,Sales_Summary[[#This Row],[Month number]], 1), "mmmm")</f>
        <v>September</v>
      </c>
      <c r="H144" s="8">
        <v>2052</v>
      </c>
      <c r="I144" s="4">
        <v>1.2825</v>
      </c>
    </row>
    <row r="145" spans="1:9" x14ac:dyDescent="0.3">
      <c r="A145" t="s">
        <v>34</v>
      </c>
      <c r="B145" t="s">
        <v>35</v>
      </c>
      <c r="C145">
        <v>223</v>
      </c>
      <c r="D145">
        <v>1600</v>
      </c>
      <c r="E145" t="s">
        <v>20</v>
      </c>
      <c r="F145">
        <v>10</v>
      </c>
      <c r="G145" s="13" t="str">
        <f>TEXT(DATE(2000,Sales_Summary[[#This Row],[Month number]], 1), "mmmm")</f>
        <v>October</v>
      </c>
      <c r="H145" s="8">
        <v>2177</v>
      </c>
      <c r="I145" s="4">
        <v>1.360625</v>
      </c>
    </row>
    <row r="146" spans="1:9" x14ac:dyDescent="0.3">
      <c r="A146" t="s">
        <v>34</v>
      </c>
      <c r="B146" t="s">
        <v>35</v>
      </c>
      <c r="C146">
        <v>223</v>
      </c>
      <c r="D146">
        <v>1600</v>
      </c>
      <c r="E146" t="s">
        <v>21</v>
      </c>
      <c r="F146">
        <v>11</v>
      </c>
      <c r="G146" s="13" t="str">
        <f>TEXT(DATE(2000,Sales_Summary[[#This Row],[Month number]], 1), "mmmm")</f>
        <v>November</v>
      </c>
      <c r="H146" s="8">
        <v>1869</v>
      </c>
      <c r="I146" s="4">
        <v>1.1681250000000001</v>
      </c>
    </row>
    <row r="147" spans="1:9" x14ac:dyDescent="0.3">
      <c r="A147" t="s">
        <v>34</v>
      </c>
      <c r="B147" t="s">
        <v>35</v>
      </c>
      <c r="C147">
        <v>223</v>
      </c>
      <c r="D147">
        <v>1600</v>
      </c>
      <c r="E147" t="s">
        <v>22</v>
      </c>
      <c r="F147">
        <v>12</v>
      </c>
      <c r="G147" s="13" t="str">
        <f>TEXT(DATE(2000,Sales_Summary[[#This Row],[Month number]], 1), "mmmm")</f>
        <v>December</v>
      </c>
      <c r="H147" s="8">
        <v>2152</v>
      </c>
      <c r="I147" s="4">
        <v>1.345</v>
      </c>
    </row>
    <row r="148" spans="1:9" x14ac:dyDescent="0.3">
      <c r="A148" t="s">
        <v>34</v>
      </c>
      <c r="B148" t="s">
        <v>36</v>
      </c>
      <c r="C148">
        <v>462</v>
      </c>
      <c r="D148">
        <v>2400</v>
      </c>
      <c r="E148" t="s">
        <v>11</v>
      </c>
      <c r="F148">
        <v>1</v>
      </c>
      <c r="G148" s="13" t="str">
        <f>TEXT(DATE(2000,Sales_Summary[[#This Row],[Month number]], 1), "mmmm")</f>
        <v>January</v>
      </c>
      <c r="H148" s="8">
        <v>637</v>
      </c>
      <c r="I148" s="4">
        <v>0.26541666666666702</v>
      </c>
    </row>
    <row r="149" spans="1:9" x14ac:dyDescent="0.3">
      <c r="A149" t="s">
        <v>34</v>
      </c>
      <c r="B149" t="s">
        <v>36</v>
      </c>
      <c r="C149">
        <v>462</v>
      </c>
      <c r="D149">
        <v>2400</v>
      </c>
      <c r="E149" t="s">
        <v>12</v>
      </c>
      <c r="F149">
        <v>2</v>
      </c>
      <c r="G149" s="13" t="str">
        <f>TEXT(DATE(2000,Sales_Summary[[#This Row],[Month number]], 1), "mmmm")</f>
        <v>February</v>
      </c>
      <c r="H149" s="8">
        <v>2513</v>
      </c>
      <c r="I149" s="4">
        <v>1.04708333333333</v>
      </c>
    </row>
    <row r="150" spans="1:9" x14ac:dyDescent="0.3">
      <c r="A150" t="s">
        <v>34</v>
      </c>
      <c r="B150" t="s">
        <v>36</v>
      </c>
      <c r="C150">
        <v>462</v>
      </c>
      <c r="D150">
        <v>2400</v>
      </c>
      <c r="E150" t="s">
        <v>13</v>
      </c>
      <c r="F150">
        <v>3</v>
      </c>
      <c r="G150" s="13" t="str">
        <f>TEXT(DATE(2000,Sales_Summary[[#This Row],[Month number]], 1), "mmmm")</f>
        <v>March</v>
      </c>
      <c r="H150" s="8">
        <v>2996</v>
      </c>
      <c r="I150" s="4">
        <v>1.24833333333333</v>
      </c>
    </row>
    <row r="151" spans="1:9" x14ac:dyDescent="0.3">
      <c r="A151" t="s">
        <v>34</v>
      </c>
      <c r="B151" t="s">
        <v>36</v>
      </c>
      <c r="C151">
        <v>462</v>
      </c>
      <c r="D151">
        <v>2400</v>
      </c>
      <c r="E151" t="s">
        <v>14</v>
      </c>
      <c r="F151">
        <v>4</v>
      </c>
      <c r="G151" s="13" t="str">
        <f>TEXT(DATE(2000,Sales_Summary[[#This Row],[Month number]], 1), "mmmm")</f>
        <v>April</v>
      </c>
      <c r="H151" s="8">
        <v>2744</v>
      </c>
      <c r="I151" s="4">
        <v>1.14333333333333</v>
      </c>
    </row>
    <row r="152" spans="1:9" x14ac:dyDescent="0.3">
      <c r="A152" t="s">
        <v>34</v>
      </c>
      <c r="B152" t="s">
        <v>36</v>
      </c>
      <c r="C152">
        <v>462</v>
      </c>
      <c r="D152">
        <v>2400</v>
      </c>
      <c r="E152" t="s">
        <v>15</v>
      </c>
      <c r="F152">
        <v>5</v>
      </c>
      <c r="G152" s="13" t="str">
        <f>TEXT(DATE(2000,Sales_Summary[[#This Row],[Month number]], 1), "mmmm")</f>
        <v>May</v>
      </c>
      <c r="H152" s="8">
        <v>2858</v>
      </c>
      <c r="I152" s="4">
        <v>1.1908333333333301</v>
      </c>
    </row>
    <row r="153" spans="1:9" x14ac:dyDescent="0.3">
      <c r="A153" t="s">
        <v>34</v>
      </c>
      <c r="B153" t="s">
        <v>36</v>
      </c>
      <c r="C153">
        <v>462</v>
      </c>
      <c r="D153">
        <v>2400</v>
      </c>
      <c r="E153" t="s">
        <v>16</v>
      </c>
      <c r="F153">
        <v>6</v>
      </c>
      <c r="G153" s="13" t="str">
        <f>TEXT(DATE(2000,Sales_Summary[[#This Row],[Month number]], 1), "mmmm")</f>
        <v>June</v>
      </c>
      <c r="H153" s="8">
        <v>3005</v>
      </c>
      <c r="I153" s="4">
        <v>1.2520833333333301</v>
      </c>
    </row>
    <row r="154" spans="1:9" x14ac:dyDescent="0.3">
      <c r="A154" t="s">
        <v>34</v>
      </c>
      <c r="B154" t="s">
        <v>36</v>
      </c>
      <c r="C154">
        <v>462</v>
      </c>
      <c r="D154">
        <v>2400</v>
      </c>
      <c r="E154" t="s">
        <v>17</v>
      </c>
      <c r="F154">
        <v>7</v>
      </c>
      <c r="G154" s="13" t="str">
        <f>TEXT(DATE(2000,Sales_Summary[[#This Row],[Month number]], 1), "mmmm")</f>
        <v>July</v>
      </c>
      <c r="H154" s="8">
        <v>3014</v>
      </c>
      <c r="I154" s="4">
        <v>1.25583333333333</v>
      </c>
    </row>
    <row r="155" spans="1:9" x14ac:dyDescent="0.3">
      <c r="A155" t="s">
        <v>34</v>
      </c>
      <c r="B155" t="s">
        <v>36</v>
      </c>
      <c r="C155">
        <v>462</v>
      </c>
      <c r="D155">
        <v>2400</v>
      </c>
      <c r="E155" t="s">
        <v>18</v>
      </c>
      <c r="F155">
        <v>8</v>
      </c>
      <c r="G155" s="13" t="str">
        <f>TEXT(DATE(2000,Sales_Summary[[#This Row],[Month number]], 1), "mmmm")</f>
        <v>August</v>
      </c>
      <c r="H155" s="8">
        <v>3303</v>
      </c>
      <c r="I155" s="4">
        <v>1.37625</v>
      </c>
    </row>
    <row r="156" spans="1:9" x14ac:dyDescent="0.3">
      <c r="A156" t="s">
        <v>34</v>
      </c>
      <c r="B156" t="s">
        <v>36</v>
      </c>
      <c r="C156">
        <v>462</v>
      </c>
      <c r="D156">
        <v>2400</v>
      </c>
      <c r="E156" t="s">
        <v>19</v>
      </c>
      <c r="F156">
        <v>9</v>
      </c>
      <c r="G156" s="13" t="str">
        <f>TEXT(DATE(2000,Sales_Summary[[#This Row],[Month number]], 1), "mmmm")</f>
        <v>September</v>
      </c>
      <c r="H156" s="8">
        <v>2463</v>
      </c>
      <c r="I156" s="4">
        <v>1.0262500000000001</v>
      </c>
    </row>
    <row r="157" spans="1:9" x14ac:dyDescent="0.3">
      <c r="A157" t="s">
        <v>34</v>
      </c>
      <c r="B157" t="s">
        <v>36</v>
      </c>
      <c r="C157">
        <v>462</v>
      </c>
      <c r="D157">
        <v>2400</v>
      </c>
      <c r="E157" t="s">
        <v>20</v>
      </c>
      <c r="F157">
        <v>10</v>
      </c>
      <c r="G157" s="13" t="str">
        <f>TEXT(DATE(2000,Sales_Summary[[#This Row],[Month number]], 1), "mmmm")</f>
        <v>October</v>
      </c>
      <c r="H157" s="8">
        <v>3220</v>
      </c>
      <c r="I157" s="4">
        <v>1.3416666666666699</v>
      </c>
    </row>
    <row r="158" spans="1:9" x14ac:dyDescent="0.3">
      <c r="A158" t="s">
        <v>34</v>
      </c>
      <c r="B158" t="s">
        <v>36</v>
      </c>
      <c r="C158">
        <v>462</v>
      </c>
      <c r="D158">
        <v>2400</v>
      </c>
      <c r="E158" t="s">
        <v>21</v>
      </c>
      <c r="F158">
        <v>11</v>
      </c>
      <c r="G158" s="13" t="str">
        <f>TEXT(DATE(2000,Sales_Summary[[#This Row],[Month number]], 1), "mmmm")</f>
        <v>November</v>
      </c>
      <c r="H158" s="8">
        <v>3557</v>
      </c>
      <c r="I158" s="4">
        <v>1.4820833333333301</v>
      </c>
    </row>
    <row r="159" spans="1:9" x14ac:dyDescent="0.3">
      <c r="A159" t="s">
        <v>34</v>
      </c>
      <c r="B159" t="s">
        <v>36</v>
      </c>
      <c r="C159">
        <v>462</v>
      </c>
      <c r="D159">
        <v>2400</v>
      </c>
      <c r="E159" t="s">
        <v>22</v>
      </c>
      <c r="F159">
        <v>12</v>
      </c>
      <c r="G159" s="13" t="str">
        <f>TEXT(DATE(2000,Sales_Summary[[#This Row],[Month number]], 1), "mmmm")</f>
        <v>December</v>
      </c>
      <c r="H159" s="8">
        <v>4123</v>
      </c>
      <c r="I159" s="4">
        <v>1.7179166666666701</v>
      </c>
    </row>
    <row r="160" spans="1:9" x14ac:dyDescent="0.3">
      <c r="A160" t="s">
        <v>34</v>
      </c>
      <c r="B160" t="s">
        <v>37</v>
      </c>
      <c r="C160">
        <v>226</v>
      </c>
      <c r="D160">
        <v>15000</v>
      </c>
      <c r="E160" t="s">
        <v>11</v>
      </c>
      <c r="F160">
        <v>1</v>
      </c>
      <c r="G160" s="13" t="str">
        <f>TEXT(DATE(2000,Sales_Summary[[#This Row],[Month number]], 1), "mmmm")</f>
        <v>January</v>
      </c>
      <c r="H160" s="8">
        <v>4126</v>
      </c>
      <c r="I160" s="4">
        <v>0.27506666666666701</v>
      </c>
    </row>
    <row r="161" spans="1:9" x14ac:dyDescent="0.3">
      <c r="A161" t="s">
        <v>34</v>
      </c>
      <c r="B161" t="s">
        <v>37</v>
      </c>
      <c r="C161">
        <v>226</v>
      </c>
      <c r="D161">
        <v>15000</v>
      </c>
      <c r="E161" t="s">
        <v>12</v>
      </c>
      <c r="F161">
        <v>2</v>
      </c>
      <c r="G161" s="13" t="str">
        <f>TEXT(DATE(2000,Sales_Summary[[#This Row],[Month number]], 1), "mmmm")</f>
        <v>February</v>
      </c>
      <c r="H161" s="8">
        <v>11547</v>
      </c>
      <c r="I161" s="4">
        <v>0.76980000000000004</v>
      </c>
    </row>
    <row r="162" spans="1:9" x14ac:dyDescent="0.3">
      <c r="A162" t="s">
        <v>34</v>
      </c>
      <c r="B162" t="s">
        <v>37</v>
      </c>
      <c r="C162">
        <v>226</v>
      </c>
      <c r="D162">
        <v>15000</v>
      </c>
      <c r="E162" t="s">
        <v>13</v>
      </c>
      <c r="F162">
        <v>3</v>
      </c>
      <c r="G162" s="13" t="str">
        <f>TEXT(DATE(2000,Sales_Summary[[#This Row],[Month number]], 1), "mmmm")</f>
        <v>March</v>
      </c>
      <c r="H162" s="8">
        <v>12911</v>
      </c>
      <c r="I162" s="4">
        <v>0.86073333333333302</v>
      </c>
    </row>
    <row r="163" spans="1:9" x14ac:dyDescent="0.3">
      <c r="A163" t="s">
        <v>34</v>
      </c>
      <c r="B163" t="s">
        <v>37</v>
      </c>
      <c r="C163">
        <v>226</v>
      </c>
      <c r="D163">
        <v>15000</v>
      </c>
      <c r="E163" t="s">
        <v>14</v>
      </c>
      <c r="F163">
        <v>4</v>
      </c>
      <c r="G163" s="13" t="str">
        <f>TEXT(DATE(2000,Sales_Summary[[#This Row],[Month number]], 1), "mmmm")</f>
        <v>April</v>
      </c>
      <c r="H163" s="8">
        <v>11848</v>
      </c>
      <c r="I163" s="4">
        <v>0.78986666666666705</v>
      </c>
    </row>
    <row r="164" spans="1:9" x14ac:dyDescent="0.3">
      <c r="A164" t="s">
        <v>34</v>
      </c>
      <c r="B164" t="s">
        <v>37</v>
      </c>
      <c r="C164">
        <v>226</v>
      </c>
      <c r="D164">
        <v>15000</v>
      </c>
      <c r="E164" t="s">
        <v>15</v>
      </c>
      <c r="F164">
        <v>5</v>
      </c>
      <c r="G164" s="13" t="str">
        <f>TEXT(DATE(2000,Sales_Summary[[#This Row],[Month number]], 1), "mmmm")</f>
        <v>May</v>
      </c>
      <c r="H164" s="8">
        <v>12828</v>
      </c>
      <c r="I164" s="4">
        <v>0.85519999999999996</v>
      </c>
    </row>
    <row r="165" spans="1:9" x14ac:dyDescent="0.3">
      <c r="A165" t="s">
        <v>34</v>
      </c>
      <c r="B165" t="s">
        <v>37</v>
      </c>
      <c r="C165">
        <v>226</v>
      </c>
      <c r="D165">
        <v>15000</v>
      </c>
      <c r="E165" t="s">
        <v>16</v>
      </c>
      <c r="F165">
        <v>6</v>
      </c>
      <c r="G165" s="13" t="str">
        <f>TEXT(DATE(2000,Sales_Summary[[#This Row],[Month number]], 1), "mmmm")</f>
        <v>June</v>
      </c>
      <c r="H165" s="8">
        <v>18192</v>
      </c>
      <c r="I165" s="4">
        <v>1.2128000000000001</v>
      </c>
    </row>
    <row r="166" spans="1:9" x14ac:dyDescent="0.3">
      <c r="A166" t="s">
        <v>34</v>
      </c>
      <c r="B166" t="s">
        <v>37</v>
      </c>
      <c r="C166">
        <v>226</v>
      </c>
      <c r="D166">
        <v>15000</v>
      </c>
      <c r="E166" t="s">
        <v>17</v>
      </c>
      <c r="F166">
        <v>7</v>
      </c>
      <c r="G166" s="13" t="str">
        <f>TEXT(DATE(2000,Sales_Summary[[#This Row],[Month number]], 1), "mmmm")</f>
        <v>July</v>
      </c>
      <c r="H166" s="8">
        <v>16885</v>
      </c>
      <c r="I166" s="4">
        <v>1.1256666666666699</v>
      </c>
    </row>
    <row r="167" spans="1:9" x14ac:dyDescent="0.3">
      <c r="A167" t="s">
        <v>34</v>
      </c>
      <c r="B167" t="s">
        <v>37</v>
      </c>
      <c r="C167">
        <v>226</v>
      </c>
      <c r="D167">
        <v>15000</v>
      </c>
      <c r="E167" t="s">
        <v>18</v>
      </c>
      <c r="F167">
        <v>8</v>
      </c>
      <c r="G167" s="13" t="str">
        <f>TEXT(DATE(2000,Sales_Summary[[#This Row],[Month number]], 1), "mmmm")</f>
        <v>August</v>
      </c>
      <c r="H167" s="8">
        <v>13536</v>
      </c>
      <c r="I167" s="4">
        <v>0.90239999999999998</v>
      </c>
    </row>
    <row r="168" spans="1:9" x14ac:dyDescent="0.3">
      <c r="A168" t="s">
        <v>34</v>
      </c>
      <c r="B168" t="s">
        <v>37</v>
      </c>
      <c r="C168">
        <v>226</v>
      </c>
      <c r="D168">
        <v>15000</v>
      </c>
      <c r="E168" t="s">
        <v>19</v>
      </c>
      <c r="F168">
        <v>9</v>
      </c>
      <c r="G168" s="13" t="str">
        <f>TEXT(DATE(2000,Sales_Summary[[#This Row],[Month number]], 1), "mmmm")</f>
        <v>September</v>
      </c>
      <c r="H168" s="8">
        <v>16027</v>
      </c>
      <c r="I168" s="4">
        <v>1.06846666666667</v>
      </c>
    </row>
    <row r="169" spans="1:9" x14ac:dyDescent="0.3">
      <c r="A169" t="s">
        <v>34</v>
      </c>
      <c r="B169" t="s">
        <v>37</v>
      </c>
      <c r="C169">
        <v>226</v>
      </c>
      <c r="D169">
        <v>15000</v>
      </c>
      <c r="E169" t="s">
        <v>20</v>
      </c>
      <c r="F169">
        <v>10</v>
      </c>
      <c r="G169" s="13" t="str">
        <f>TEXT(DATE(2000,Sales_Summary[[#This Row],[Month number]], 1), "mmmm")</f>
        <v>October</v>
      </c>
      <c r="H169" s="8">
        <v>15959</v>
      </c>
      <c r="I169" s="4">
        <v>1.0639333333333301</v>
      </c>
    </row>
    <row r="170" spans="1:9" x14ac:dyDescent="0.3">
      <c r="A170" t="s">
        <v>34</v>
      </c>
      <c r="B170" t="s">
        <v>37</v>
      </c>
      <c r="C170">
        <v>226</v>
      </c>
      <c r="D170">
        <v>15000</v>
      </c>
      <c r="E170" t="s">
        <v>21</v>
      </c>
      <c r="F170">
        <v>11</v>
      </c>
      <c r="G170" s="13" t="str">
        <f>TEXT(DATE(2000,Sales_Summary[[#This Row],[Month number]], 1), "mmmm")</f>
        <v>November</v>
      </c>
      <c r="H170" s="8">
        <v>17465</v>
      </c>
      <c r="I170" s="4">
        <v>1.1643333333333299</v>
      </c>
    </row>
    <row r="171" spans="1:9" x14ac:dyDescent="0.3">
      <c r="A171" t="s">
        <v>34</v>
      </c>
      <c r="B171" t="s">
        <v>37</v>
      </c>
      <c r="C171">
        <v>226</v>
      </c>
      <c r="D171">
        <v>15000</v>
      </c>
      <c r="E171" t="s">
        <v>22</v>
      </c>
      <c r="F171">
        <v>12</v>
      </c>
      <c r="G171" s="13" t="str">
        <f>TEXT(DATE(2000,Sales_Summary[[#This Row],[Month number]], 1), "mmmm")</f>
        <v>December</v>
      </c>
      <c r="H171" s="8">
        <v>20082</v>
      </c>
      <c r="I171" s="4">
        <v>1.3388</v>
      </c>
    </row>
    <row r="172" spans="1:9" x14ac:dyDescent="0.3">
      <c r="A172" t="s">
        <v>34</v>
      </c>
      <c r="B172" t="s">
        <v>1</v>
      </c>
      <c r="C172">
        <v>445</v>
      </c>
      <c r="D172">
        <v>6400</v>
      </c>
      <c r="E172" t="s">
        <v>11</v>
      </c>
      <c r="F172">
        <v>1</v>
      </c>
      <c r="G172" s="13" t="str">
        <f>TEXT(DATE(2000,Sales_Summary[[#This Row],[Month number]], 1), "mmmm")</f>
        <v>January</v>
      </c>
      <c r="H172" s="8">
        <v>460</v>
      </c>
      <c r="I172" s="4">
        <v>7.1874999999999994E-2</v>
      </c>
    </row>
    <row r="173" spans="1:9" x14ac:dyDescent="0.3">
      <c r="A173" t="s">
        <v>34</v>
      </c>
      <c r="B173" t="s">
        <v>1</v>
      </c>
      <c r="C173">
        <v>445</v>
      </c>
      <c r="D173">
        <v>6400</v>
      </c>
      <c r="E173" t="s">
        <v>12</v>
      </c>
      <c r="F173">
        <v>2</v>
      </c>
      <c r="G173" s="13" t="str">
        <f>TEXT(DATE(2000,Sales_Summary[[#This Row],[Month number]], 1), "mmmm")</f>
        <v>February</v>
      </c>
      <c r="H173" s="8">
        <v>5762</v>
      </c>
      <c r="I173" s="4">
        <v>0.90031249999999996</v>
      </c>
    </row>
    <row r="174" spans="1:9" x14ac:dyDescent="0.3">
      <c r="A174" t="s">
        <v>34</v>
      </c>
      <c r="B174" t="s">
        <v>1</v>
      </c>
      <c r="C174">
        <v>445</v>
      </c>
      <c r="D174">
        <v>6400</v>
      </c>
      <c r="E174" t="s">
        <v>13</v>
      </c>
      <c r="F174">
        <v>3</v>
      </c>
      <c r="G174" s="13" t="str">
        <f>TEXT(DATE(2000,Sales_Summary[[#This Row],[Month number]], 1), "mmmm")</f>
        <v>March</v>
      </c>
      <c r="H174" s="8">
        <v>7340</v>
      </c>
      <c r="I174" s="4">
        <v>1.1468750000000001</v>
      </c>
    </row>
    <row r="175" spans="1:9" x14ac:dyDescent="0.3">
      <c r="A175" t="s">
        <v>34</v>
      </c>
      <c r="B175" t="s">
        <v>1</v>
      </c>
      <c r="C175">
        <v>445</v>
      </c>
      <c r="D175">
        <v>6400</v>
      </c>
      <c r="E175" t="s">
        <v>14</v>
      </c>
      <c r="F175">
        <v>4</v>
      </c>
      <c r="G175" s="13" t="str">
        <f>TEXT(DATE(2000,Sales_Summary[[#This Row],[Month number]], 1), "mmmm")</f>
        <v>April</v>
      </c>
      <c r="H175" s="8">
        <v>6374</v>
      </c>
      <c r="I175" s="4">
        <v>0.99593750000000003</v>
      </c>
    </row>
    <row r="176" spans="1:9" x14ac:dyDescent="0.3">
      <c r="A176" t="s">
        <v>34</v>
      </c>
      <c r="B176" t="s">
        <v>1</v>
      </c>
      <c r="C176">
        <v>445</v>
      </c>
      <c r="D176">
        <v>6400</v>
      </c>
      <c r="E176" t="s">
        <v>15</v>
      </c>
      <c r="F176">
        <v>5</v>
      </c>
      <c r="G176" s="13" t="str">
        <f>TEXT(DATE(2000,Sales_Summary[[#This Row],[Month number]], 1), "mmmm")</f>
        <v>May</v>
      </c>
      <c r="H176" s="8">
        <v>5327</v>
      </c>
      <c r="I176" s="4">
        <v>0.83234375000000005</v>
      </c>
    </row>
    <row r="177" spans="1:9" x14ac:dyDescent="0.3">
      <c r="A177" t="s">
        <v>34</v>
      </c>
      <c r="B177" t="s">
        <v>1</v>
      </c>
      <c r="C177">
        <v>445</v>
      </c>
      <c r="D177">
        <v>6400</v>
      </c>
      <c r="E177" t="s">
        <v>16</v>
      </c>
      <c r="F177">
        <v>6</v>
      </c>
      <c r="G177" s="13" t="str">
        <f>TEXT(DATE(2000,Sales_Summary[[#This Row],[Month number]], 1), "mmmm")</f>
        <v>June</v>
      </c>
      <c r="H177" s="8">
        <v>6868</v>
      </c>
      <c r="I177" s="4">
        <v>1.0731250000000001</v>
      </c>
    </row>
    <row r="178" spans="1:9" x14ac:dyDescent="0.3">
      <c r="A178" t="s">
        <v>34</v>
      </c>
      <c r="B178" t="s">
        <v>1</v>
      </c>
      <c r="C178">
        <v>445</v>
      </c>
      <c r="D178">
        <v>6400</v>
      </c>
      <c r="E178" t="s">
        <v>17</v>
      </c>
      <c r="F178">
        <v>7</v>
      </c>
      <c r="G178" s="13" t="str">
        <f>TEXT(DATE(2000,Sales_Summary[[#This Row],[Month number]], 1), "mmmm")</f>
        <v>July</v>
      </c>
      <c r="H178" s="8">
        <v>4656</v>
      </c>
      <c r="I178" s="4">
        <v>0.72750000000000004</v>
      </c>
    </row>
    <row r="179" spans="1:9" x14ac:dyDescent="0.3">
      <c r="A179" t="s">
        <v>34</v>
      </c>
      <c r="B179" t="s">
        <v>1</v>
      </c>
      <c r="C179">
        <v>445</v>
      </c>
      <c r="D179">
        <v>6400</v>
      </c>
      <c r="E179" t="s">
        <v>18</v>
      </c>
      <c r="F179">
        <v>8</v>
      </c>
      <c r="G179" s="13" t="str">
        <f>TEXT(DATE(2000,Sales_Summary[[#This Row],[Month number]], 1), "mmmm")</f>
        <v>August</v>
      </c>
      <c r="H179" s="8">
        <v>5423</v>
      </c>
      <c r="I179" s="4">
        <v>0.84734374999999995</v>
      </c>
    </row>
    <row r="180" spans="1:9" x14ac:dyDescent="0.3">
      <c r="A180" t="s">
        <v>34</v>
      </c>
      <c r="B180" t="s">
        <v>1</v>
      </c>
      <c r="C180">
        <v>445</v>
      </c>
      <c r="D180">
        <v>6400</v>
      </c>
      <c r="E180" t="s">
        <v>19</v>
      </c>
      <c r="F180">
        <v>9</v>
      </c>
      <c r="G180" s="13" t="str">
        <f>TEXT(DATE(2000,Sales_Summary[[#This Row],[Month number]], 1), "mmmm")</f>
        <v>September</v>
      </c>
      <c r="H180" s="8">
        <v>6316</v>
      </c>
      <c r="I180" s="4">
        <v>0.98687499999999995</v>
      </c>
    </row>
    <row r="181" spans="1:9" x14ac:dyDescent="0.3">
      <c r="A181" t="s">
        <v>34</v>
      </c>
      <c r="B181" t="s">
        <v>1</v>
      </c>
      <c r="C181">
        <v>445</v>
      </c>
      <c r="D181">
        <v>6400</v>
      </c>
      <c r="E181" t="s">
        <v>20</v>
      </c>
      <c r="F181">
        <v>10</v>
      </c>
      <c r="G181" s="13" t="str">
        <f>TEXT(DATE(2000,Sales_Summary[[#This Row],[Month number]], 1), "mmmm")</f>
        <v>October</v>
      </c>
      <c r="H181" s="8">
        <v>6376</v>
      </c>
      <c r="I181" s="4">
        <v>0.99624999999999997</v>
      </c>
    </row>
    <row r="182" spans="1:9" x14ac:dyDescent="0.3">
      <c r="A182" t="s">
        <v>34</v>
      </c>
      <c r="B182" t="s">
        <v>1</v>
      </c>
      <c r="C182">
        <v>445</v>
      </c>
      <c r="D182">
        <v>6400</v>
      </c>
      <c r="E182" t="s">
        <v>21</v>
      </c>
      <c r="F182">
        <v>11</v>
      </c>
      <c r="G182" s="13" t="str">
        <f>TEXT(DATE(2000,Sales_Summary[[#This Row],[Month number]], 1), "mmmm")</f>
        <v>November</v>
      </c>
      <c r="H182" s="8">
        <v>6339</v>
      </c>
      <c r="I182" s="4">
        <v>0.99046875000000001</v>
      </c>
    </row>
    <row r="183" spans="1:9" x14ac:dyDescent="0.3">
      <c r="A183" t="s">
        <v>34</v>
      </c>
      <c r="B183" t="s">
        <v>1</v>
      </c>
      <c r="C183">
        <v>445</v>
      </c>
      <c r="D183">
        <v>6400</v>
      </c>
      <c r="E183" t="s">
        <v>22</v>
      </c>
      <c r="F183">
        <v>12</v>
      </c>
      <c r="G183" s="13" t="str">
        <f>TEXT(DATE(2000,Sales_Summary[[#This Row],[Month number]], 1), "mmmm")</f>
        <v>December</v>
      </c>
      <c r="H183" s="8">
        <v>7680</v>
      </c>
      <c r="I183" s="4">
        <v>1.2</v>
      </c>
    </row>
    <row r="184" spans="1:9" x14ac:dyDescent="0.3">
      <c r="A184" t="s">
        <v>34</v>
      </c>
      <c r="B184" t="s">
        <v>38</v>
      </c>
      <c r="C184">
        <v>218</v>
      </c>
      <c r="D184">
        <v>400</v>
      </c>
      <c r="E184" t="s">
        <v>11</v>
      </c>
      <c r="F184">
        <v>1</v>
      </c>
      <c r="G184" s="13" t="str">
        <f>TEXT(DATE(2000,Sales_Summary[[#This Row],[Month number]], 1), "mmmm")</f>
        <v>January</v>
      </c>
      <c r="H184" s="8">
        <v>63</v>
      </c>
      <c r="I184" s="4">
        <v>0.1575</v>
      </c>
    </row>
    <row r="185" spans="1:9" x14ac:dyDescent="0.3">
      <c r="A185" t="s">
        <v>34</v>
      </c>
      <c r="B185" t="s">
        <v>38</v>
      </c>
      <c r="C185">
        <v>218</v>
      </c>
      <c r="D185">
        <v>400</v>
      </c>
      <c r="E185" t="s">
        <v>12</v>
      </c>
      <c r="F185">
        <v>2</v>
      </c>
      <c r="G185" s="13" t="str">
        <f>TEXT(DATE(2000,Sales_Summary[[#This Row],[Month number]], 1), "mmmm")</f>
        <v>February</v>
      </c>
      <c r="H185" s="8">
        <v>283</v>
      </c>
      <c r="I185" s="4">
        <v>0.70750000000000002</v>
      </c>
    </row>
    <row r="186" spans="1:9" x14ac:dyDescent="0.3">
      <c r="A186" t="s">
        <v>34</v>
      </c>
      <c r="B186" t="s">
        <v>38</v>
      </c>
      <c r="C186">
        <v>218</v>
      </c>
      <c r="D186">
        <v>400</v>
      </c>
      <c r="E186" t="s">
        <v>13</v>
      </c>
      <c r="F186">
        <v>3</v>
      </c>
      <c r="G186" s="13" t="str">
        <f>TEXT(DATE(2000,Sales_Summary[[#This Row],[Month number]], 1), "mmmm")</f>
        <v>March</v>
      </c>
      <c r="H186" s="8">
        <v>471</v>
      </c>
      <c r="I186" s="4">
        <v>1.1775</v>
      </c>
    </row>
    <row r="187" spans="1:9" x14ac:dyDescent="0.3">
      <c r="A187" t="s">
        <v>34</v>
      </c>
      <c r="B187" t="s">
        <v>38</v>
      </c>
      <c r="C187">
        <v>218</v>
      </c>
      <c r="D187">
        <v>400</v>
      </c>
      <c r="E187" t="s">
        <v>14</v>
      </c>
      <c r="F187">
        <v>4</v>
      </c>
      <c r="G187" s="13" t="str">
        <f>TEXT(DATE(2000,Sales_Summary[[#This Row],[Month number]], 1), "mmmm")</f>
        <v>April</v>
      </c>
      <c r="H187" s="8">
        <v>586</v>
      </c>
      <c r="I187" s="4">
        <v>1.4650000000000001</v>
      </c>
    </row>
    <row r="188" spans="1:9" x14ac:dyDescent="0.3">
      <c r="A188" t="s">
        <v>34</v>
      </c>
      <c r="B188" t="s">
        <v>38</v>
      </c>
      <c r="C188">
        <v>218</v>
      </c>
      <c r="D188">
        <v>400</v>
      </c>
      <c r="E188" t="s">
        <v>15</v>
      </c>
      <c r="F188">
        <v>5</v>
      </c>
      <c r="G188" s="13" t="str">
        <f>TEXT(DATE(2000,Sales_Summary[[#This Row],[Month number]], 1), "mmmm")</f>
        <v>May</v>
      </c>
      <c r="H188" s="8">
        <v>424</v>
      </c>
      <c r="I188" s="4">
        <v>1.06</v>
      </c>
    </row>
    <row r="189" spans="1:9" x14ac:dyDescent="0.3">
      <c r="A189" t="s">
        <v>34</v>
      </c>
      <c r="B189" t="s">
        <v>38</v>
      </c>
      <c r="C189">
        <v>218</v>
      </c>
      <c r="D189">
        <v>400</v>
      </c>
      <c r="E189" t="s">
        <v>16</v>
      </c>
      <c r="F189">
        <v>6</v>
      </c>
      <c r="G189" s="13" t="str">
        <f>TEXT(DATE(2000,Sales_Summary[[#This Row],[Month number]], 1), "mmmm")</f>
        <v>June</v>
      </c>
      <c r="H189" s="8">
        <v>411</v>
      </c>
      <c r="I189" s="4">
        <v>1.0275000000000001</v>
      </c>
    </row>
    <row r="190" spans="1:9" x14ac:dyDescent="0.3">
      <c r="A190" t="s">
        <v>34</v>
      </c>
      <c r="B190" t="s">
        <v>38</v>
      </c>
      <c r="C190">
        <v>218</v>
      </c>
      <c r="D190">
        <v>400</v>
      </c>
      <c r="E190" t="s">
        <v>17</v>
      </c>
      <c r="F190">
        <v>7</v>
      </c>
      <c r="G190" s="13" t="str">
        <f>TEXT(DATE(2000,Sales_Summary[[#This Row],[Month number]], 1), "mmmm")</f>
        <v>July</v>
      </c>
      <c r="H190" s="8">
        <v>878</v>
      </c>
      <c r="I190" s="4">
        <v>2.1949999999999998</v>
      </c>
    </row>
    <row r="191" spans="1:9" x14ac:dyDescent="0.3">
      <c r="A191" t="s">
        <v>34</v>
      </c>
      <c r="B191" t="s">
        <v>38</v>
      </c>
      <c r="C191">
        <v>218</v>
      </c>
      <c r="D191">
        <v>400</v>
      </c>
      <c r="E191" t="s">
        <v>18</v>
      </c>
      <c r="F191">
        <v>8</v>
      </c>
      <c r="G191" s="13" t="str">
        <f>TEXT(DATE(2000,Sales_Summary[[#This Row],[Month number]], 1), "mmmm")</f>
        <v>August</v>
      </c>
      <c r="H191" s="8">
        <v>526</v>
      </c>
      <c r="I191" s="4">
        <v>1.3149999999999999</v>
      </c>
    </row>
    <row r="192" spans="1:9" x14ac:dyDescent="0.3">
      <c r="A192" t="s">
        <v>34</v>
      </c>
      <c r="B192" t="s">
        <v>38</v>
      </c>
      <c r="C192">
        <v>218</v>
      </c>
      <c r="D192">
        <v>400</v>
      </c>
      <c r="E192" t="s">
        <v>19</v>
      </c>
      <c r="F192">
        <v>9</v>
      </c>
      <c r="G192" s="13" t="str">
        <f>TEXT(DATE(2000,Sales_Summary[[#This Row],[Month number]], 1), "mmmm")</f>
        <v>September</v>
      </c>
      <c r="H192" s="8">
        <v>464</v>
      </c>
      <c r="I192" s="4">
        <v>1.1599999999999999</v>
      </c>
    </row>
    <row r="193" spans="1:9" x14ac:dyDescent="0.3">
      <c r="A193" t="s">
        <v>34</v>
      </c>
      <c r="B193" t="s">
        <v>38</v>
      </c>
      <c r="C193">
        <v>218</v>
      </c>
      <c r="D193">
        <v>400</v>
      </c>
      <c r="E193" t="s">
        <v>20</v>
      </c>
      <c r="F193">
        <v>10</v>
      </c>
      <c r="G193" s="13" t="str">
        <f>TEXT(DATE(2000,Sales_Summary[[#This Row],[Month number]], 1), "mmmm")</f>
        <v>October</v>
      </c>
      <c r="H193" s="8">
        <v>374</v>
      </c>
      <c r="I193" s="4">
        <v>0.93500000000000005</v>
      </c>
    </row>
    <row r="194" spans="1:9" x14ac:dyDescent="0.3">
      <c r="A194" t="s">
        <v>34</v>
      </c>
      <c r="B194" t="s">
        <v>38</v>
      </c>
      <c r="C194">
        <v>218</v>
      </c>
      <c r="D194">
        <v>400</v>
      </c>
      <c r="E194" t="s">
        <v>21</v>
      </c>
      <c r="F194">
        <v>11</v>
      </c>
      <c r="G194" s="13" t="str">
        <f>TEXT(DATE(2000,Sales_Summary[[#This Row],[Month number]], 1), "mmmm")</f>
        <v>November</v>
      </c>
      <c r="H194" s="8">
        <v>699</v>
      </c>
      <c r="I194" s="4">
        <v>1.7475000000000001</v>
      </c>
    </row>
    <row r="195" spans="1:9" x14ac:dyDescent="0.3">
      <c r="A195" t="s">
        <v>34</v>
      </c>
      <c r="B195" t="s">
        <v>38</v>
      </c>
      <c r="C195">
        <v>218</v>
      </c>
      <c r="D195">
        <v>400</v>
      </c>
      <c r="E195" t="s">
        <v>22</v>
      </c>
      <c r="F195">
        <v>12</v>
      </c>
      <c r="G195" s="13" t="str">
        <f>TEXT(DATE(2000,Sales_Summary[[#This Row],[Month number]], 1), "mmmm")</f>
        <v>December</v>
      </c>
      <c r="H195" s="8">
        <v>738</v>
      </c>
      <c r="I195" s="4">
        <v>1.845</v>
      </c>
    </row>
    <row r="196" spans="1:9" x14ac:dyDescent="0.3">
      <c r="A196" t="s">
        <v>34</v>
      </c>
      <c r="B196" t="s">
        <v>39</v>
      </c>
      <c r="C196">
        <v>471</v>
      </c>
      <c r="D196">
        <v>2900</v>
      </c>
      <c r="E196" t="s">
        <v>11</v>
      </c>
      <c r="F196">
        <v>1</v>
      </c>
      <c r="G196" s="13" t="str">
        <f>TEXT(DATE(2000,Sales_Summary[[#This Row],[Month number]], 1), "mmmm")</f>
        <v>January</v>
      </c>
      <c r="H196" s="8">
        <v>1019</v>
      </c>
      <c r="I196" s="4">
        <v>0.351379310344828</v>
      </c>
    </row>
    <row r="197" spans="1:9" x14ac:dyDescent="0.3">
      <c r="A197" t="s">
        <v>34</v>
      </c>
      <c r="B197" t="s">
        <v>39</v>
      </c>
      <c r="C197">
        <v>471</v>
      </c>
      <c r="D197">
        <v>2900</v>
      </c>
      <c r="E197" t="s">
        <v>12</v>
      </c>
      <c r="F197">
        <v>2</v>
      </c>
      <c r="G197" s="13" t="str">
        <f>TEXT(DATE(2000,Sales_Summary[[#This Row],[Month number]], 1), "mmmm")</f>
        <v>February</v>
      </c>
      <c r="H197" s="8">
        <v>2047</v>
      </c>
      <c r="I197" s="4">
        <v>0.70586206896551695</v>
      </c>
    </row>
    <row r="198" spans="1:9" x14ac:dyDescent="0.3">
      <c r="A198" t="s">
        <v>34</v>
      </c>
      <c r="B198" t="s">
        <v>39</v>
      </c>
      <c r="C198">
        <v>471</v>
      </c>
      <c r="D198">
        <v>2900</v>
      </c>
      <c r="E198" t="s">
        <v>13</v>
      </c>
      <c r="F198">
        <v>3</v>
      </c>
      <c r="G198" s="13" t="str">
        <f>TEXT(DATE(2000,Sales_Summary[[#This Row],[Month number]], 1), "mmmm")</f>
        <v>March</v>
      </c>
      <c r="H198" s="8">
        <v>2019</v>
      </c>
      <c r="I198" s="4">
        <v>0.69620689655172396</v>
      </c>
    </row>
    <row r="199" spans="1:9" x14ac:dyDescent="0.3">
      <c r="A199" t="s">
        <v>34</v>
      </c>
      <c r="B199" t="s">
        <v>39</v>
      </c>
      <c r="C199">
        <v>471</v>
      </c>
      <c r="D199">
        <v>2900</v>
      </c>
      <c r="E199" t="s">
        <v>14</v>
      </c>
      <c r="F199">
        <v>4</v>
      </c>
      <c r="G199" s="13" t="str">
        <f>TEXT(DATE(2000,Sales_Summary[[#This Row],[Month number]], 1), "mmmm")</f>
        <v>April</v>
      </c>
      <c r="H199" s="8">
        <v>2351</v>
      </c>
      <c r="I199" s="4">
        <v>0.81068965517241398</v>
      </c>
    </row>
    <row r="200" spans="1:9" x14ac:dyDescent="0.3">
      <c r="A200" t="s">
        <v>34</v>
      </c>
      <c r="B200" t="s">
        <v>39</v>
      </c>
      <c r="C200">
        <v>471</v>
      </c>
      <c r="D200">
        <v>2900</v>
      </c>
      <c r="E200" t="s">
        <v>15</v>
      </c>
      <c r="F200">
        <v>5</v>
      </c>
      <c r="G200" s="13" t="str">
        <f>TEXT(DATE(2000,Sales_Summary[[#This Row],[Month number]], 1), "mmmm")</f>
        <v>May</v>
      </c>
      <c r="H200" s="8">
        <v>2802</v>
      </c>
      <c r="I200" s="4">
        <v>0.96620689655172398</v>
      </c>
    </row>
    <row r="201" spans="1:9" x14ac:dyDescent="0.3">
      <c r="A201" t="s">
        <v>34</v>
      </c>
      <c r="B201" t="s">
        <v>39</v>
      </c>
      <c r="C201">
        <v>471</v>
      </c>
      <c r="D201">
        <v>2900</v>
      </c>
      <c r="E201" t="s">
        <v>16</v>
      </c>
      <c r="F201">
        <v>6</v>
      </c>
      <c r="G201" s="13" t="str">
        <f>TEXT(DATE(2000,Sales_Summary[[#This Row],[Month number]], 1), "mmmm")</f>
        <v>June</v>
      </c>
      <c r="H201" s="8">
        <v>2630</v>
      </c>
      <c r="I201" s="4">
        <v>0.90689655172413797</v>
      </c>
    </row>
    <row r="202" spans="1:9" x14ac:dyDescent="0.3">
      <c r="A202" t="s">
        <v>34</v>
      </c>
      <c r="B202" t="s">
        <v>39</v>
      </c>
      <c r="C202">
        <v>471</v>
      </c>
      <c r="D202">
        <v>2900</v>
      </c>
      <c r="E202" t="s">
        <v>17</v>
      </c>
      <c r="F202">
        <v>7</v>
      </c>
      <c r="G202" s="13" t="str">
        <f>TEXT(DATE(2000,Sales_Summary[[#This Row],[Month number]], 1), "mmmm")</f>
        <v>July</v>
      </c>
      <c r="H202" s="8">
        <v>3418</v>
      </c>
      <c r="I202" s="4">
        <v>1.1786206896551701</v>
      </c>
    </row>
    <row r="203" spans="1:9" x14ac:dyDescent="0.3">
      <c r="A203" t="s">
        <v>34</v>
      </c>
      <c r="B203" t="s">
        <v>39</v>
      </c>
      <c r="C203">
        <v>471</v>
      </c>
      <c r="D203">
        <v>2900</v>
      </c>
      <c r="E203" t="s">
        <v>18</v>
      </c>
      <c r="F203">
        <v>8</v>
      </c>
      <c r="G203" s="13" t="str">
        <f>TEXT(DATE(2000,Sales_Summary[[#This Row],[Month number]], 1), "mmmm")</f>
        <v>August</v>
      </c>
      <c r="H203" s="8">
        <v>3619</v>
      </c>
      <c r="I203" s="4">
        <v>1.2479310344827601</v>
      </c>
    </row>
    <row r="204" spans="1:9" x14ac:dyDescent="0.3">
      <c r="A204" t="s">
        <v>34</v>
      </c>
      <c r="B204" t="s">
        <v>39</v>
      </c>
      <c r="C204">
        <v>471</v>
      </c>
      <c r="D204">
        <v>2900</v>
      </c>
      <c r="E204" t="s">
        <v>19</v>
      </c>
      <c r="F204">
        <v>9</v>
      </c>
      <c r="G204" s="13" t="str">
        <f>TEXT(DATE(2000,Sales_Summary[[#This Row],[Month number]], 1), "mmmm")</f>
        <v>September</v>
      </c>
      <c r="H204" s="8">
        <v>3639</v>
      </c>
      <c r="I204" s="4">
        <v>1.2548275862069</v>
      </c>
    </row>
    <row r="205" spans="1:9" x14ac:dyDescent="0.3">
      <c r="A205" t="s">
        <v>34</v>
      </c>
      <c r="B205" t="s">
        <v>39</v>
      </c>
      <c r="C205">
        <v>471</v>
      </c>
      <c r="D205">
        <v>2900</v>
      </c>
      <c r="E205" t="s">
        <v>20</v>
      </c>
      <c r="F205">
        <v>10</v>
      </c>
      <c r="G205" s="13" t="str">
        <f>TEXT(DATE(2000,Sales_Summary[[#This Row],[Month number]], 1), "mmmm")</f>
        <v>October</v>
      </c>
      <c r="H205" s="8">
        <v>4287</v>
      </c>
      <c r="I205" s="4">
        <v>1.47827586206897</v>
      </c>
    </row>
    <row r="206" spans="1:9" x14ac:dyDescent="0.3">
      <c r="A206" t="s">
        <v>34</v>
      </c>
      <c r="B206" t="s">
        <v>39</v>
      </c>
      <c r="C206">
        <v>471</v>
      </c>
      <c r="D206">
        <v>2900</v>
      </c>
      <c r="E206" t="s">
        <v>21</v>
      </c>
      <c r="F206">
        <v>11</v>
      </c>
      <c r="G206" s="13" t="str">
        <f>TEXT(DATE(2000,Sales_Summary[[#This Row],[Month number]], 1), "mmmm")</f>
        <v>November</v>
      </c>
      <c r="H206" s="8">
        <v>3724</v>
      </c>
      <c r="I206" s="4">
        <v>1.28413793103448</v>
      </c>
    </row>
    <row r="207" spans="1:9" x14ac:dyDescent="0.3">
      <c r="A207" t="s">
        <v>34</v>
      </c>
      <c r="B207" t="s">
        <v>39</v>
      </c>
      <c r="C207">
        <v>471</v>
      </c>
      <c r="D207">
        <v>2900</v>
      </c>
      <c r="E207" t="s">
        <v>22</v>
      </c>
      <c r="F207">
        <v>12</v>
      </c>
      <c r="G207" s="13" t="str">
        <f>TEXT(DATE(2000,Sales_Summary[[#This Row],[Month number]], 1), "mmmm")</f>
        <v>December</v>
      </c>
      <c r="H207" s="8">
        <v>3478</v>
      </c>
      <c r="I207" s="4">
        <v>1.1993103448275899</v>
      </c>
    </row>
  </sheetData>
  <phoneticPr fontId="4"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0F3C-BBBB-4DFD-8854-7DFAB4B0DF34}">
  <sheetPr>
    <tabColor rgb="FF00B050"/>
  </sheetPr>
  <dimension ref="A5:E37"/>
  <sheetViews>
    <sheetView zoomScale="52" zoomScaleNormal="52" workbookViewId="0">
      <selection activeCell="C45" sqref="C45"/>
    </sheetView>
  </sheetViews>
  <sheetFormatPr defaultRowHeight="14.4" x14ac:dyDescent="0.3"/>
  <cols>
    <col min="1" max="1" width="19.5546875" bestFit="1" customWidth="1"/>
    <col min="2" max="2" width="17.44140625" bestFit="1" customWidth="1"/>
    <col min="3" max="3" width="17.6640625" bestFit="1" customWidth="1"/>
    <col min="4" max="4" width="14.6640625" bestFit="1" customWidth="1"/>
    <col min="5" max="5" width="17.6640625" bestFit="1" customWidth="1"/>
    <col min="6" max="6" width="25" bestFit="1" customWidth="1"/>
    <col min="7" max="7" width="30.6640625" bestFit="1" customWidth="1"/>
    <col min="8" max="8" width="11.6640625" bestFit="1" customWidth="1"/>
    <col min="9" max="9" width="14.44140625" bestFit="1" customWidth="1"/>
    <col min="10" max="10" width="16.33203125" bestFit="1" customWidth="1"/>
    <col min="11" max="11" width="19.109375" bestFit="1" customWidth="1"/>
    <col min="12" max="12" width="16.33203125" bestFit="1" customWidth="1"/>
    <col min="13" max="13" width="18.21875" bestFit="1" customWidth="1"/>
    <col min="14" max="14" width="11.6640625" bestFit="1" customWidth="1"/>
    <col min="15" max="15" width="16.5546875" bestFit="1" customWidth="1"/>
    <col min="16" max="16" width="16.33203125" bestFit="1" customWidth="1"/>
    <col min="17" max="17" width="18.109375" bestFit="1" customWidth="1"/>
    <col min="18" max="18" width="22.44140625" bestFit="1" customWidth="1"/>
    <col min="19" max="19" width="28.33203125" bestFit="1" customWidth="1"/>
    <col min="20" max="20" width="12" bestFit="1" customWidth="1"/>
    <col min="21" max="21" width="17.6640625" bestFit="1" customWidth="1"/>
    <col min="22" max="22" width="21.21875" bestFit="1" customWidth="1"/>
    <col min="23" max="23" width="26.77734375" bestFit="1" customWidth="1"/>
    <col min="24" max="24" width="16.33203125" bestFit="1" customWidth="1"/>
    <col min="25" max="25" width="21.88671875" bestFit="1" customWidth="1"/>
    <col min="26" max="26" width="11.6640625" bestFit="1" customWidth="1"/>
    <col min="27" max="27" width="16.109375" bestFit="1" customWidth="1"/>
    <col min="28" max="28" width="11.6640625" bestFit="1" customWidth="1"/>
    <col min="29" max="29" width="15.6640625" bestFit="1" customWidth="1"/>
    <col min="30" max="30" width="22.109375" bestFit="1" customWidth="1"/>
    <col min="31" max="31" width="27.88671875" bestFit="1" customWidth="1"/>
    <col min="32" max="32" width="19.33203125" bestFit="1" customWidth="1"/>
    <col min="33" max="33" width="24.88671875" bestFit="1" customWidth="1"/>
    <col min="34" max="34" width="11.6640625" bestFit="1" customWidth="1"/>
    <col min="35" max="35" width="15.109375" bestFit="1" customWidth="1"/>
    <col min="36" max="36" width="15.6640625" bestFit="1" customWidth="1"/>
    <col min="37" max="134" width="5" bestFit="1" customWidth="1"/>
    <col min="135" max="167" width="6" bestFit="1" customWidth="1"/>
    <col min="168" max="203" width="7" bestFit="1" customWidth="1"/>
    <col min="204" max="204" width="10.77734375" bestFit="1" customWidth="1"/>
  </cols>
  <sheetData>
    <row r="5" spans="1:2" x14ac:dyDescent="0.3">
      <c r="A5" s="5" t="s">
        <v>40</v>
      </c>
      <c r="B5" t="s">
        <v>43</v>
      </c>
    </row>
    <row r="6" spans="1:2" x14ac:dyDescent="0.3">
      <c r="A6" s="6" t="s">
        <v>52</v>
      </c>
      <c r="B6">
        <v>871548</v>
      </c>
    </row>
    <row r="7" spans="1:2" x14ac:dyDescent="0.3">
      <c r="A7" s="6" t="s">
        <v>53</v>
      </c>
      <c r="B7">
        <v>858779</v>
      </c>
    </row>
    <row r="8" spans="1:2" x14ac:dyDescent="0.3">
      <c r="A8" s="6" t="s">
        <v>54</v>
      </c>
      <c r="B8">
        <v>1000224</v>
      </c>
    </row>
    <row r="9" spans="1:2" x14ac:dyDescent="0.3">
      <c r="A9" s="6" t="s">
        <v>55</v>
      </c>
      <c r="B9">
        <v>1132150</v>
      </c>
    </row>
    <row r="10" spans="1:2" x14ac:dyDescent="0.3">
      <c r="A10" s="6" t="s">
        <v>15</v>
      </c>
      <c r="B10">
        <v>1226780</v>
      </c>
    </row>
    <row r="11" spans="1:2" x14ac:dyDescent="0.3">
      <c r="A11" s="6" t="s">
        <v>56</v>
      </c>
      <c r="B11">
        <v>1713859</v>
      </c>
    </row>
    <row r="12" spans="1:2" x14ac:dyDescent="0.3">
      <c r="A12" s="6" t="s">
        <v>57</v>
      </c>
      <c r="B12">
        <v>1355346</v>
      </c>
    </row>
    <row r="13" spans="1:2" x14ac:dyDescent="0.3">
      <c r="A13" s="6" t="s">
        <v>58</v>
      </c>
      <c r="B13">
        <v>1577993</v>
      </c>
    </row>
    <row r="14" spans="1:2" x14ac:dyDescent="0.3">
      <c r="A14" s="6" t="s">
        <v>59</v>
      </c>
      <c r="B14">
        <v>1508107</v>
      </c>
    </row>
    <row r="15" spans="1:2" x14ac:dyDescent="0.3">
      <c r="A15" s="6" t="s">
        <v>60</v>
      </c>
      <c r="B15">
        <v>1675246</v>
      </c>
    </row>
    <row r="16" spans="1:2" x14ac:dyDescent="0.3">
      <c r="A16" s="6" t="s">
        <v>61</v>
      </c>
      <c r="B16">
        <v>1975865</v>
      </c>
    </row>
    <row r="17" spans="1:5" x14ac:dyDescent="0.3">
      <c r="A17" s="6" t="s">
        <v>62</v>
      </c>
      <c r="B17">
        <v>1978825</v>
      </c>
    </row>
    <row r="18" spans="1:5" x14ac:dyDescent="0.3">
      <c r="A18" s="6" t="s">
        <v>41</v>
      </c>
      <c r="B18">
        <v>16874722</v>
      </c>
    </row>
    <row r="21" spans="1:5" x14ac:dyDescent="0.3">
      <c r="A21" s="5" t="s">
        <v>3</v>
      </c>
      <c r="B21" t="s">
        <v>65</v>
      </c>
    </row>
    <row r="23" spans="1:5" x14ac:dyDescent="0.3">
      <c r="A23" s="5" t="s">
        <v>43</v>
      </c>
      <c r="B23" s="5" t="s">
        <v>64</v>
      </c>
    </row>
    <row r="24" spans="1:5" x14ac:dyDescent="0.3">
      <c r="A24" s="5" t="s">
        <v>40</v>
      </c>
      <c r="B24" t="s">
        <v>9</v>
      </c>
      <c r="C24" t="s">
        <v>30</v>
      </c>
      <c r="D24" t="s">
        <v>34</v>
      </c>
      <c r="E24" t="s">
        <v>41</v>
      </c>
    </row>
    <row r="25" spans="1:5" x14ac:dyDescent="0.3">
      <c r="A25" s="6" t="s">
        <v>52</v>
      </c>
      <c r="B25" s="15">
        <v>14811</v>
      </c>
      <c r="C25" s="15">
        <v>849914</v>
      </c>
      <c r="D25" s="15">
        <v>6823</v>
      </c>
      <c r="E25" s="15">
        <v>871548</v>
      </c>
    </row>
    <row r="26" spans="1:5" x14ac:dyDescent="0.3">
      <c r="A26" s="6" t="s">
        <v>53</v>
      </c>
      <c r="B26" s="15">
        <v>52759</v>
      </c>
      <c r="C26" s="15">
        <v>782134</v>
      </c>
      <c r="D26" s="15">
        <v>23886</v>
      </c>
      <c r="E26" s="15">
        <v>858779</v>
      </c>
    </row>
    <row r="27" spans="1:5" x14ac:dyDescent="0.3">
      <c r="A27" s="6" t="s">
        <v>54</v>
      </c>
      <c r="B27" s="15">
        <v>54908</v>
      </c>
      <c r="C27" s="15">
        <v>918078</v>
      </c>
      <c r="D27" s="15">
        <v>27238</v>
      </c>
      <c r="E27" s="15">
        <v>1000224</v>
      </c>
    </row>
    <row r="28" spans="1:5" x14ac:dyDescent="0.3">
      <c r="A28" s="6" t="s">
        <v>55</v>
      </c>
      <c r="B28" s="15">
        <v>54740</v>
      </c>
      <c r="C28" s="15">
        <v>1052389</v>
      </c>
      <c r="D28" s="15">
        <v>25021</v>
      </c>
      <c r="E28" s="15">
        <v>1132150</v>
      </c>
    </row>
    <row r="29" spans="1:5" x14ac:dyDescent="0.3">
      <c r="A29" s="6" t="s">
        <v>15</v>
      </c>
      <c r="B29" s="15">
        <v>56046</v>
      </c>
      <c r="C29" s="15">
        <v>1144727</v>
      </c>
      <c r="D29" s="15">
        <v>26007</v>
      </c>
      <c r="E29" s="15">
        <v>1226780</v>
      </c>
    </row>
    <row r="30" spans="1:5" x14ac:dyDescent="0.3">
      <c r="A30" s="6" t="s">
        <v>56</v>
      </c>
      <c r="B30" s="15">
        <v>69833</v>
      </c>
      <c r="C30" s="15">
        <v>1610701</v>
      </c>
      <c r="D30" s="15">
        <v>33325</v>
      </c>
      <c r="E30" s="15">
        <v>1713859</v>
      </c>
    </row>
    <row r="31" spans="1:5" x14ac:dyDescent="0.3">
      <c r="A31" s="6" t="s">
        <v>57</v>
      </c>
      <c r="B31" s="15">
        <v>60494</v>
      </c>
      <c r="C31" s="15">
        <v>1264374</v>
      </c>
      <c r="D31" s="15">
        <v>30478</v>
      </c>
      <c r="E31" s="15">
        <v>1355346</v>
      </c>
    </row>
    <row r="32" spans="1:5" x14ac:dyDescent="0.3">
      <c r="A32" s="6" t="s">
        <v>58</v>
      </c>
      <c r="B32" s="15">
        <v>63082</v>
      </c>
      <c r="C32" s="15">
        <v>1486400</v>
      </c>
      <c r="D32" s="15">
        <v>28511</v>
      </c>
      <c r="E32" s="15">
        <v>1577993</v>
      </c>
    </row>
    <row r="33" spans="1:5" x14ac:dyDescent="0.3">
      <c r="A33" s="6" t="s">
        <v>59</v>
      </c>
      <c r="B33" s="15">
        <v>59743</v>
      </c>
      <c r="C33" s="15">
        <v>1417403</v>
      </c>
      <c r="D33" s="15">
        <v>30961</v>
      </c>
      <c r="E33" s="15">
        <v>1508107</v>
      </c>
    </row>
    <row r="34" spans="1:5" x14ac:dyDescent="0.3">
      <c r="A34" s="6" t="s">
        <v>60</v>
      </c>
      <c r="B34" s="15">
        <v>62709</v>
      </c>
      <c r="C34" s="15">
        <v>1580144</v>
      </c>
      <c r="D34" s="15">
        <v>32393</v>
      </c>
      <c r="E34" s="15">
        <v>1675246</v>
      </c>
    </row>
    <row r="35" spans="1:5" x14ac:dyDescent="0.3">
      <c r="A35" s="6" t="s">
        <v>61</v>
      </c>
      <c r="B35" s="15">
        <v>74855</v>
      </c>
      <c r="C35" s="15">
        <v>1867357</v>
      </c>
      <c r="D35" s="15">
        <v>33653</v>
      </c>
      <c r="E35" s="15">
        <v>1975865</v>
      </c>
    </row>
    <row r="36" spans="1:5" x14ac:dyDescent="0.3">
      <c r="A36" s="6" t="s">
        <v>62</v>
      </c>
      <c r="B36" s="15">
        <v>67371</v>
      </c>
      <c r="C36" s="15">
        <v>1873201</v>
      </c>
      <c r="D36" s="15">
        <v>38253</v>
      </c>
      <c r="E36" s="15">
        <v>1978825</v>
      </c>
    </row>
    <row r="37" spans="1:5" x14ac:dyDescent="0.3">
      <c r="A37" s="6" t="s">
        <v>41</v>
      </c>
      <c r="B37">
        <v>691351</v>
      </c>
      <c r="C37">
        <v>15846822</v>
      </c>
      <c r="D37">
        <v>336549</v>
      </c>
      <c r="E37">
        <v>16874722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057A8-E298-4430-BC64-636BE4FC620A}">
  <sheetPr>
    <tabColor rgb="FF00B050"/>
  </sheetPr>
  <dimension ref="A3:F77"/>
  <sheetViews>
    <sheetView topLeftCell="A28" workbookViewId="0">
      <selection activeCell="J42" sqref="J42"/>
    </sheetView>
  </sheetViews>
  <sheetFormatPr defaultRowHeight="14.4" x14ac:dyDescent="0.3"/>
  <cols>
    <col min="1" max="1" width="15.5546875" bestFit="1" customWidth="1"/>
    <col min="2" max="2" width="26.44140625" bestFit="1" customWidth="1"/>
    <col min="3" max="3" width="22.109375" bestFit="1" customWidth="1"/>
    <col min="4" max="4" width="12.44140625" customWidth="1"/>
    <col min="5" max="5" width="15.5546875" bestFit="1" customWidth="1"/>
    <col min="6" max="6" width="14.6640625" customWidth="1"/>
    <col min="7" max="12" width="6" bestFit="1" customWidth="1"/>
    <col min="13" max="15" width="7" bestFit="1" customWidth="1"/>
    <col min="16" max="18" width="8" bestFit="1" customWidth="1"/>
    <col min="19" max="19" width="10.77734375" bestFit="1" customWidth="1"/>
  </cols>
  <sheetData>
    <row r="3" spans="1:2" x14ac:dyDescent="0.3">
      <c r="A3" s="5" t="s">
        <v>40</v>
      </c>
      <c r="B3" t="s">
        <v>43</v>
      </c>
    </row>
    <row r="4" spans="1:2" x14ac:dyDescent="0.3">
      <c r="A4" s="6" t="s">
        <v>9</v>
      </c>
      <c r="B4" s="14">
        <v>691351</v>
      </c>
    </row>
    <row r="5" spans="1:2" x14ac:dyDescent="0.3">
      <c r="A5" s="7" t="s">
        <v>10</v>
      </c>
      <c r="B5" s="14">
        <v>37329</v>
      </c>
    </row>
    <row r="6" spans="1:2" x14ac:dyDescent="0.3">
      <c r="A6" s="7" t="s">
        <v>23</v>
      </c>
      <c r="B6" s="14">
        <v>39225</v>
      </c>
    </row>
    <row r="7" spans="1:2" x14ac:dyDescent="0.3">
      <c r="A7" s="7" t="s">
        <v>24</v>
      </c>
      <c r="B7" s="14">
        <v>57837</v>
      </c>
    </row>
    <row r="8" spans="1:2" x14ac:dyDescent="0.3">
      <c r="A8" s="7" t="s">
        <v>25</v>
      </c>
      <c r="B8" s="14">
        <v>6933</v>
      </c>
    </row>
    <row r="9" spans="1:2" x14ac:dyDescent="0.3">
      <c r="A9" s="7" t="s">
        <v>26</v>
      </c>
      <c r="B9" s="14">
        <v>44138</v>
      </c>
    </row>
    <row r="10" spans="1:2" x14ac:dyDescent="0.3">
      <c r="A10" s="7" t="s">
        <v>27</v>
      </c>
      <c r="B10" s="14">
        <v>222373</v>
      </c>
    </row>
    <row r="11" spans="1:2" x14ac:dyDescent="0.3">
      <c r="A11" s="7" t="s">
        <v>28</v>
      </c>
      <c r="B11" s="14">
        <v>40271</v>
      </c>
    </row>
    <row r="12" spans="1:2" x14ac:dyDescent="0.3">
      <c r="A12" s="7" t="s">
        <v>29</v>
      </c>
      <c r="B12" s="14">
        <v>243245</v>
      </c>
    </row>
    <row r="13" spans="1:2" x14ac:dyDescent="0.3">
      <c r="A13" s="6" t="s">
        <v>30</v>
      </c>
      <c r="B13" s="14">
        <v>15846822</v>
      </c>
    </row>
    <row r="14" spans="1:2" x14ac:dyDescent="0.3">
      <c r="A14" s="7" t="s">
        <v>31</v>
      </c>
      <c r="B14" s="14">
        <v>6533896</v>
      </c>
    </row>
    <row r="15" spans="1:2" x14ac:dyDescent="0.3">
      <c r="A15" s="7" t="s">
        <v>32</v>
      </c>
      <c r="B15" s="14">
        <v>5257429</v>
      </c>
    </row>
    <row r="16" spans="1:2" x14ac:dyDescent="0.3">
      <c r="A16" s="7" t="s">
        <v>33</v>
      </c>
      <c r="B16" s="14">
        <v>4055497</v>
      </c>
    </row>
    <row r="17" spans="1:6" x14ac:dyDescent="0.3">
      <c r="A17" s="6" t="s">
        <v>34</v>
      </c>
      <c r="B17" s="14">
        <v>336549</v>
      </c>
    </row>
    <row r="18" spans="1:6" x14ac:dyDescent="0.3">
      <c r="A18" s="7" t="s">
        <v>35</v>
      </c>
      <c r="B18" s="14">
        <v>20839</v>
      </c>
    </row>
    <row r="19" spans="1:6" x14ac:dyDescent="0.3">
      <c r="A19" s="7" t="s">
        <v>36</v>
      </c>
      <c r="B19" s="14">
        <v>34433</v>
      </c>
    </row>
    <row r="20" spans="1:6" x14ac:dyDescent="0.3">
      <c r="A20" s="7" t="s">
        <v>37</v>
      </c>
      <c r="B20" s="14">
        <v>171406</v>
      </c>
    </row>
    <row r="21" spans="1:6" x14ac:dyDescent="0.3">
      <c r="A21" s="7" t="s">
        <v>1</v>
      </c>
      <c r="B21" s="14">
        <v>68921</v>
      </c>
    </row>
    <row r="22" spans="1:6" x14ac:dyDescent="0.3">
      <c r="A22" s="7" t="s">
        <v>38</v>
      </c>
      <c r="B22" s="14">
        <v>5917</v>
      </c>
    </row>
    <row r="23" spans="1:6" x14ac:dyDescent="0.3">
      <c r="A23" s="7" t="s">
        <v>39</v>
      </c>
      <c r="B23" s="14">
        <v>35033</v>
      </c>
    </row>
    <row r="24" spans="1:6" x14ac:dyDescent="0.3">
      <c r="A24" s="6" t="s">
        <v>41</v>
      </c>
      <c r="B24" s="14">
        <v>16874722</v>
      </c>
    </row>
    <row r="27" spans="1:6" x14ac:dyDescent="0.3">
      <c r="A27" t="s">
        <v>40</v>
      </c>
      <c r="B27" t="s">
        <v>43</v>
      </c>
    </row>
    <row r="28" spans="1:6" x14ac:dyDescent="0.3">
      <c r="A28" t="s">
        <v>9</v>
      </c>
      <c r="B28" s="14">
        <v>691351</v>
      </c>
      <c r="D28" s="22" t="s">
        <v>9</v>
      </c>
      <c r="E28" s="23" t="s">
        <v>10</v>
      </c>
      <c r="F28" s="24" t="s">
        <v>63</v>
      </c>
    </row>
    <row r="29" spans="1:6" x14ac:dyDescent="0.3">
      <c r="A29" t="s">
        <v>10</v>
      </c>
      <c r="B29" s="14">
        <v>37329</v>
      </c>
      <c r="D29" s="18" t="s">
        <v>9</v>
      </c>
      <c r="E29" s="16" t="s">
        <v>23</v>
      </c>
      <c r="F29" s="21">
        <v>39225</v>
      </c>
    </row>
    <row r="30" spans="1:6" x14ac:dyDescent="0.3">
      <c r="A30" t="s">
        <v>23</v>
      </c>
      <c r="B30" s="14">
        <v>39225</v>
      </c>
      <c r="D30" s="18" t="s">
        <v>9</v>
      </c>
      <c r="E30" s="17" t="s">
        <v>24</v>
      </c>
      <c r="F30" s="20">
        <v>57837</v>
      </c>
    </row>
    <row r="31" spans="1:6" x14ac:dyDescent="0.3">
      <c r="A31" t="s">
        <v>24</v>
      </c>
      <c r="B31" s="14">
        <v>57837</v>
      </c>
      <c r="D31" s="18" t="s">
        <v>9</v>
      </c>
      <c r="E31" s="16" t="s">
        <v>25</v>
      </c>
      <c r="F31" s="21">
        <v>6933</v>
      </c>
    </row>
    <row r="32" spans="1:6" x14ac:dyDescent="0.3">
      <c r="A32" t="s">
        <v>25</v>
      </c>
      <c r="B32" s="14">
        <v>6933</v>
      </c>
      <c r="D32" s="18" t="s">
        <v>9</v>
      </c>
      <c r="E32" s="17" t="s">
        <v>26</v>
      </c>
      <c r="F32" s="20">
        <v>44138</v>
      </c>
    </row>
    <row r="33" spans="1:6" x14ac:dyDescent="0.3">
      <c r="A33" t="s">
        <v>26</v>
      </c>
      <c r="B33" s="14">
        <v>44138</v>
      </c>
      <c r="D33" s="18" t="s">
        <v>9</v>
      </c>
      <c r="E33" s="16" t="s">
        <v>27</v>
      </c>
      <c r="F33" s="21">
        <v>222373</v>
      </c>
    </row>
    <row r="34" spans="1:6" x14ac:dyDescent="0.3">
      <c r="A34" t="s">
        <v>27</v>
      </c>
      <c r="B34" s="14">
        <v>222373</v>
      </c>
      <c r="D34" s="18" t="s">
        <v>9</v>
      </c>
      <c r="E34" s="17" t="s">
        <v>28</v>
      </c>
      <c r="F34" s="20">
        <v>40271</v>
      </c>
    </row>
    <row r="35" spans="1:6" x14ac:dyDescent="0.3">
      <c r="A35" t="s">
        <v>28</v>
      </c>
      <c r="B35" s="14">
        <v>40271</v>
      </c>
      <c r="D35" s="18" t="s">
        <v>9</v>
      </c>
      <c r="E35" s="16" t="s">
        <v>29</v>
      </c>
      <c r="F35" s="21">
        <v>243245</v>
      </c>
    </row>
    <row r="36" spans="1:6" x14ac:dyDescent="0.3">
      <c r="A36" t="s">
        <v>29</v>
      </c>
      <c r="B36" s="14">
        <v>243245</v>
      </c>
      <c r="D36" s="19" t="s">
        <v>30</v>
      </c>
      <c r="E36" s="16" t="s">
        <v>31</v>
      </c>
      <c r="F36" s="21">
        <v>6533896</v>
      </c>
    </row>
    <row r="37" spans="1:6" x14ac:dyDescent="0.3">
      <c r="A37" t="s">
        <v>30</v>
      </c>
      <c r="B37" s="14">
        <v>15846822</v>
      </c>
      <c r="D37" s="19" t="s">
        <v>30</v>
      </c>
      <c r="E37" s="17" t="s">
        <v>32</v>
      </c>
      <c r="F37" s="20">
        <v>5257429</v>
      </c>
    </row>
    <row r="38" spans="1:6" x14ac:dyDescent="0.3">
      <c r="A38" t="s">
        <v>31</v>
      </c>
      <c r="B38" s="14">
        <v>6533896</v>
      </c>
      <c r="D38" s="19" t="s">
        <v>30</v>
      </c>
      <c r="E38" s="16" t="s">
        <v>33</v>
      </c>
      <c r="F38" s="21">
        <v>4055497</v>
      </c>
    </row>
    <row r="39" spans="1:6" x14ac:dyDescent="0.3">
      <c r="A39" t="s">
        <v>32</v>
      </c>
      <c r="B39" s="14">
        <v>5257429</v>
      </c>
      <c r="D39" s="19" t="s">
        <v>34</v>
      </c>
      <c r="E39" s="16" t="s">
        <v>36</v>
      </c>
      <c r="F39" s="21">
        <v>34433</v>
      </c>
    </row>
    <row r="40" spans="1:6" x14ac:dyDescent="0.3">
      <c r="A40" t="s">
        <v>33</v>
      </c>
      <c r="B40" s="14">
        <v>4055497</v>
      </c>
      <c r="D40" s="19" t="s">
        <v>34</v>
      </c>
      <c r="E40" s="17" t="s">
        <v>37</v>
      </c>
      <c r="F40" s="20">
        <v>171406</v>
      </c>
    </row>
    <row r="41" spans="1:6" x14ac:dyDescent="0.3">
      <c r="A41" t="s">
        <v>34</v>
      </c>
      <c r="B41" s="14">
        <v>336549</v>
      </c>
      <c r="D41" s="19" t="s">
        <v>34</v>
      </c>
      <c r="E41" s="16" t="s">
        <v>1</v>
      </c>
      <c r="F41" s="21">
        <v>68921</v>
      </c>
    </row>
    <row r="42" spans="1:6" x14ac:dyDescent="0.3">
      <c r="A42" t="s">
        <v>36</v>
      </c>
      <c r="B42" s="14">
        <v>34433</v>
      </c>
      <c r="D42" s="19" t="s">
        <v>34</v>
      </c>
      <c r="E42" s="17" t="s">
        <v>38</v>
      </c>
      <c r="F42" s="20">
        <v>5917</v>
      </c>
    </row>
    <row r="43" spans="1:6" x14ac:dyDescent="0.3">
      <c r="A43" t="s">
        <v>37</v>
      </c>
      <c r="B43" s="14">
        <v>171406</v>
      </c>
      <c r="D43" s="19" t="s">
        <v>34</v>
      </c>
      <c r="E43" s="16" t="s">
        <v>39</v>
      </c>
      <c r="F43" s="21">
        <v>35033</v>
      </c>
    </row>
    <row r="44" spans="1:6" x14ac:dyDescent="0.3">
      <c r="A44" t="s">
        <v>1</v>
      </c>
      <c r="B44" s="14">
        <v>68921</v>
      </c>
      <c r="D44" s="25" t="s">
        <v>34</v>
      </c>
      <c r="E44" s="26" t="s">
        <v>35</v>
      </c>
      <c r="F44" s="27">
        <v>20839</v>
      </c>
    </row>
    <row r="45" spans="1:6" x14ac:dyDescent="0.3">
      <c r="A45" t="s">
        <v>38</v>
      </c>
      <c r="B45" s="14">
        <v>5917</v>
      </c>
    </row>
    <row r="46" spans="1:6" x14ac:dyDescent="0.3">
      <c r="A46" t="s">
        <v>39</v>
      </c>
      <c r="B46" s="14">
        <v>35033</v>
      </c>
    </row>
    <row r="47" spans="1:6" x14ac:dyDescent="0.3">
      <c r="A47" t="s">
        <v>35</v>
      </c>
      <c r="B47" s="14">
        <v>20839</v>
      </c>
    </row>
    <row r="48" spans="1:6" x14ac:dyDescent="0.3">
      <c r="A48" t="s">
        <v>41</v>
      </c>
      <c r="B48" s="14">
        <v>16874722</v>
      </c>
    </row>
    <row r="59" spans="1:2" x14ac:dyDescent="0.3">
      <c r="A59" s="5" t="s">
        <v>40</v>
      </c>
      <c r="B59" t="s">
        <v>42</v>
      </c>
    </row>
    <row r="60" spans="1:2" x14ac:dyDescent="0.3">
      <c r="A60" s="6" t="s">
        <v>10</v>
      </c>
      <c r="B60">
        <v>0.91492647058823529</v>
      </c>
    </row>
    <row r="61" spans="1:2" x14ac:dyDescent="0.3">
      <c r="A61" s="6" t="s">
        <v>23</v>
      </c>
      <c r="B61">
        <v>1.2106481481481484</v>
      </c>
    </row>
    <row r="62" spans="1:2" x14ac:dyDescent="0.3">
      <c r="A62" s="6" t="s">
        <v>24</v>
      </c>
      <c r="B62">
        <v>0.86066964285714231</v>
      </c>
    </row>
    <row r="63" spans="1:2" x14ac:dyDescent="0.3">
      <c r="A63" s="6" t="s">
        <v>35</v>
      </c>
      <c r="B63">
        <v>1.0853645833333334</v>
      </c>
    </row>
    <row r="64" spans="1:2" x14ac:dyDescent="0.3">
      <c r="A64" s="6" t="s">
        <v>25</v>
      </c>
      <c r="B64">
        <v>1.1555</v>
      </c>
    </row>
    <row r="65" spans="1:2" x14ac:dyDescent="0.3">
      <c r="A65" s="6" t="s">
        <v>26</v>
      </c>
      <c r="B65">
        <v>1.0217129629629622</v>
      </c>
    </row>
    <row r="66" spans="1:2" x14ac:dyDescent="0.3">
      <c r="A66" s="6" t="s">
        <v>36</v>
      </c>
      <c r="B66">
        <v>1.1955902777777767</v>
      </c>
    </row>
    <row r="67" spans="1:2" x14ac:dyDescent="0.3">
      <c r="A67" s="6" t="s">
        <v>27</v>
      </c>
      <c r="B67">
        <v>1.2191502192982453</v>
      </c>
    </row>
    <row r="68" spans="1:2" x14ac:dyDescent="0.3">
      <c r="A68" s="6" t="s">
        <v>28</v>
      </c>
      <c r="B68">
        <v>0.88313596491228052</v>
      </c>
    </row>
    <row r="69" spans="1:2" x14ac:dyDescent="0.3">
      <c r="A69" s="6" t="s">
        <v>37</v>
      </c>
      <c r="B69">
        <v>0.95225555555555574</v>
      </c>
    </row>
    <row r="70" spans="1:2" x14ac:dyDescent="0.3">
      <c r="A70" s="6" t="s">
        <v>31</v>
      </c>
      <c r="B70">
        <v>1.0752198525539767</v>
      </c>
    </row>
    <row r="71" spans="1:2" x14ac:dyDescent="0.3">
      <c r="A71" s="6" t="s">
        <v>32</v>
      </c>
      <c r="B71">
        <v>1.1627364207360233</v>
      </c>
    </row>
    <row r="72" spans="1:2" x14ac:dyDescent="0.3">
      <c r="A72" s="6" t="s">
        <v>1</v>
      </c>
      <c r="B72">
        <v>0.89740885416666671</v>
      </c>
    </row>
    <row r="73" spans="1:2" x14ac:dyDescent="0.3">
      <c r="A73" s="6" t="s">
        <v>38</v>
      </c>
      <c r="B73">
        <v>1.2327083333333335</v>
      </c>
    </row>
    <row r="74" spans="1:2" x14ac:dyDescent="0.3">
      <c r="A74" s="6" t="s">
        <v>29</v>
      </c>
      <c r="B74">
        <v>0.91721342383107052</v>
      </c>
    </row>
    <row r="75" spans="1:2" x14ac:dyDescent="0.3">
      <c r="A75" s="6" t="s">
        <v>33</v>
      </c>
      <c r="B75">
        <v>0.90074116027007722</v>
      </c>
    </row>
    <row r="76" spans="1:2" x14ac:dyDescent="0.3">
      <c r="A76" s="6" t="s">
        <v>39</v>
      </c>
      <c r="B76">
        <v>1.0066954022988512</v>
      </c>
    </row>
    <row r="77" spans="1:2" x14ac:dyDescent="0.3">
      <c r="A77" s="6" t="s">
        <v>41</v>
      </c>
      <c r="B77">
        <v>1.0406868983896282</v>
      </c>
    </row>
  </sheetData>
  <pageMargins left="0.7" right="0.7" top="0.75" bottom="0.75" header="0.3" footer="0.3"/>
  <drawing r:id="rId3"/>
  <tableParts count="2">
    <tablePart r:id="rId4"/>
    <tablePart r:id="rId5"/>
  </tableParts>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881E-1DCC-4207-B2EE-0AD85F62D573}">
  <sheetPr>
    <tabColor rgb="FF00B050"/>
  </sheetPr>
  <dimension ref="A3:B9"/>
  <sheetViews>
    <sheetView workbookViewId="0">
      <selection activeCell="B28" sqref="B28"/>
    </sheetView>
  </sheetViews>
  <sheetFormatPr defaultRowHeight="14.4" x14ac:dyDescent="0.3"/>
  <cols>
    <col min="1" max="1" width="13.6640625" bestFit="1" customWidth="1"/>
    <col min="2" max="2" width="15.5546875" bestFit="1" customWidth="1"/>
    <col min="3" max="3" width="9" bestFit="1" customWidth="1"/>
    <col min="4" max="4" width="8" bestFit="1" customWidth="1"/>
    <col min="5" max="5" width="10.77734375" bestFit="1" customWidth="1"/>
    <col min="6" max="6" width="6" bestFit="1" customWidth="1"/>
    <col min="7" max="7" width="7" bestFit="1" customWidth="1"/>
    <col min="8" max="9" width="6" bestFit="1" customWidth="1"/>
    <col min="10" max="10" width="7" bestFit="1" customWidth="1"/>
    <col min="11" max="13" width="6" bestFit="1" customWidth="1"/>
    <col min="14" max="14" width="10.77734375" bestFit="1" customWidth="1"/>
    <col min="15" max="17" width="7" bestFit="1" customWidth="1"/>
    <col min="18" max="20" width="8" bestFit="1" customWidth="1"/>
    <col min="21" max="21" width="9" bestFit="1" customWidth="1"/>
    <col min="22" max="22" width="10.77734375" bestFit="1" customWidth="1"/>
  </cols>
  <sheetData>
    <row r="3" spans="1:2" x14ac:dyDescent="0.3">
      <c r="A3" s="5" t="s">
        <v>40</v>
      </c>
      <c r="B3" s="15" t="s">
        <v>43</v>
      </c>
    </row>
    <row r="4" spans="1:2" x14ac:dyDescent="0.3">
      <c r="A4" s="6" t="s">
        <v>31</v>
      </c>
      <c r="B4" s="15">
        <v>6533896</v>
      </c>
    </row>
    <row r="5" spans="1:2" x14ac:dyDescent="0.3">
      <c r="A5" s="6" t="s">
        <v>32</v>
      </c>
      <c r="B5" s="15">
        <v>5257429</v>
      </c>
    </row>
    <row r="6" spans="1:2" x14ac:dyDescent="0.3">
      <c r="A6" s="6" t="s">
        <v>33</v>
      </c>
      <c r="B6" s="15">
        <v>4055497</v>
      </c>
    </row>
    <row r="7" spans="1:2" x14ac:dyDescent="0.3">
      <c r="A7" s="6" t="s">
        <v>29</v>
      </c>
      <c r="B7" s="15">
        <v>243245</v>
      </c>
    </row>
    <row r="8" spans="1:2" x14ac:dyDescent="0.3">
      <c r="A8" s="6" t="s">
        <v>27</v>
      </c>
      <c r="B8" s="15">
        <v>222373</v>
      </c>
    </row>
    <row r="9" spans="1:2" x14ac:dyDescent="0.3">
      <c r="A9" s="6" t="s">
        <v>41</v>
      </c>
      <c r="B9" s="15">
        <v>16312440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9B487-AA6C-4844-8FE0-1BB32FFDA244}">
  <sheetPr>
    <tabColor rgb="FF00B050"/>
  </sheetPr>
  <dimension ref="B3:H23"/>
  <sheetViews>
    <sheetView workbookViewId="0">
      <selection activeCell="E13" sqref="E13"/>
    </sheetView>
  </sheetViews>
  <sheetFormatPr defaultRowHeight="14.4" x14ac:dyDescent="0.3"/>
  <cols>
    <col min="2" max="2" width="19.5546875" bestFit="1" customWidth="1"/>
    <col min="3" max="3" width="11.6640625" bestFit="1" customWidth="1"/>
    <col min="4" max="4" width="23.88671875" bestFit="1" customWidth="1"/>
    <col min="5" max="6" width="26.44140625" bestFit="1" customWidth="1"/>
    <col min="8" max="8" width="15.44140625" bestFit="1" customWidth="1"/>
  </cols>
  <sheetData>
    <row r="3" spans="2:8" x14ac:dyDescent="0.3">
      <c r="B3" s="5" t="s">
        <v>40</v>
      </c>
      <c r="C3" t="s">
        <v>43</v>
      </c>
      <c r="D3" t="s">
        <v>46</v>
      </c>
      <c r="E3" t="s">
        <v>42</v>
      </c>
      <c r="H3" t="s">
        <v>47</v>
      </c>
    </row>
    <row r="4" spans="2:8" x14ac:dyDescent="0.3">
      <c r="B4" s="6" t="s">
        <v>9</v>
      </c>
      <c r="C4">
        <v>691351</v>
      </c>
      <c r="D4">
        <v>7112.5</v>
      </c>
      <c r="E4">
        <v>1.0228696040747605</v>
      </c>
      <c r="H4" s="9">
        <f>SUM(Sales_Summary[Sales])</f>
        <v>16874722</v>
      </c>
    </row>
    <row r="5" spans="2:8" x14ac:dyDescent="0.3">
      <c r="B5" s="7" t="s">
        <v>10</v>
      </c>
      <c r="C5">
        <v>37329</v>
      </c>
      <c r="D5">
        <v>3400</v>
      </c>
      <c r="E5">
        <v>0.91492647058823529</v>
      </c>
    </row>
    <row r="6" spans="2:8" x14ac:dyDescent="0.3">
      <c r="B6" s="7" t="s">
        <v>23</v>
      </c>
      <c r="C6">
        <v>39225</v>
      </c>
      <c r="D6">
        <v>2700</v>
      </c>
      <c r="E6">
        <v>1.2106481481481484</v>
      </c>
      <c r="H6" t="s">
        <v>48</v>
      </c>
    </row>
    <row r="7" spans="2:8" x14ac:dyDescent="0.3">
      <c r="B7" s="7" t="s">
        <v>24</v>
      </c>
      <c r="C7">
        <v>57837</v>
      </c>
      <c r="D7">
        <v>5600</v>
      </c>
      <c r="E7">
        <v>0.86066964285714231</v>
      </c>
      <c r="H7" s="10">
        <f>AVERAGE(Sales_Summary[% Target Achieved])</f>
        <v>1.040686898389628</v>
      </c>
    </row>
    <row r="8" spans="2:8" x14ac:dyDescent="0.3">
      <c r="B8" s="7" t="s">
        <v>25</v>
      </c>
      <c r="C8">
        <v>6933</v>
      </c>
      <c r="D8">
        <v>500</v>
      </c>
      <c r="E8">
        <v>1.1555</v>
      </c>
    </row>
    <row r="9" spans="2:8" x14ac:dyDescent="0.3">
      <c r="B9" s="7" t="s">
        <v>26</v>
      </c>
      <c r="C9">
        <v>44138</v>
      </c>
      <c r="D9">
        <v>3600</v>
      </c>
      <c r="E9">
        <v>1.0217129629629622</v>
      </c>
      <c r="H9">
        <f>MAX(Sales_Summary[Sales])</f>
        <v>802792</v>
      </c>
    </row>
    <row r="10" spans="2:8" x14ac:dyDescent="0.3">
      <c r="B10" s="7" t="s">
        <v>27</v>
      </c>
      <c r="C10">
        <v>222373</v>
      </c>
      <c r="D10">
        <v>15200</v>
      </c>
      <c r="E10">
        <v>1.2191502192982453</v>
      </c>
      <c r="H10" t="str">
        <f>INDEX(Sales_Summary[Month],MATCH(MAX(Sales_Summary[Sales]),Sales_Summary[Sales], 0))</f>
        <v>November</v>
      </c>
    </row>
    <row r="11" spans="2:8" x14ac:dyDescent="0.3">
      <c r="B11" s="7" t="s">
        <v>28</v>
      </c>
      <c r="C11">
        <v>40271</v>
      </c>
      <c r="D11">
        <v>3800</v>
      </c>
      <c r="E11">
        <v>0.88313596491228052</v>
      </c>
    </row>
    <row r="12" spans="2:8" x14ac:dyDescent="0.3">
      <c r="B12" s="7" t="s">
        <v>29</v>
      </c>
      <c r="C12">
        <v>243245</v>
      </c>
      <c r="D12">
        <v>22100</v>
      </c>
      <c r="E12">
        <v>0.91721342383107052</v>
      </c>
      <c r="H12">
        <f>MAX(Sales_Summary[% Target Achieved])</f>
        <v>2.1949999999999998</v>
      </c>
    </row>
    <row r="13" spans="2:8" x14ac:dyDescent="0.3">
      <c r="B13" s="6" t="s">
        <v>30</v>
      </c>
      <c r="C13">
        <v>15846822</v>
      </c>
      <c r="D13">
        <v>419466.66666666669</v>
      </c>
      <c r="E13">
        <v>1.0462324778533594</v>
      </c>
      <c r="H13" t="str">
        <f>INDEX(Sales_Summary[Month],MATCH(MAX(Sales_Summary[% Target Achieved]),Sales_Summary[% Target Achieved], 0))</f>
        <v>July</v>
      </c>
    </row>
    <row r="14" spans="2:8" x14ac:dyDescent="0.3">
      <c r="B14" s="7" t="s">
        <v>31</v>
      </c>
      <c r="C14">
        <v>6533896</v>
      </c>
      <c r="D14">
        <v>506400</v>
      </c>
      <c r="E14">
        <v>1.0752198525539767</v>
      </c>
    </row>
    <row r="15" spans="2:8" x14ac:dyDescent="0.3">
      <c r="B15" s="7" t="s">
        <v>32</v>
      </c>
      <c r="C15">
        <v>5257429</v>
      </c>
      <c r="D15">
        <v>376800</v>
      </c>
      <c r="E15">
        <v>1.1627364207360233</v>
      </c>
    </row>
    <row r="16" spans="2:8" x14ac:dyDescent="0.3">
      <c r="B16" s="7" t="s">
        <v>33</v>
      </c>
      <c r="C16">
        <v>4055497</v>
      </c>
      <c r="D16">
        <v>375200</v>
      </c>
      <c r="E16">
        <v>0.90074116027007722</v>
      </c>
    </row>
    <row r="17" spans="2:5" x14ac:dyDescent="0.3">
      <c r="B17" s="6" t="s">
        <v>34</v>
      </c>
      <c r="C17">
        <v>336549</v>
      </c>
      <c r="D17">
        <v>4783.333333333333</v>
      </c>
      <c r="E17">
        <v>1.0616705010775864</v>
      </c>
    </row>
    <row r="18" spans="2:5" x14ac:dyDescent="0.3">
      <c r="B18" s="7" t="s">
        <v>35</v>
      </c>
      <c r="C18">
        <v>20839</v>
      </c>
      <c r="D18">
        <v>1600</v>
      </c>
      <c r="E18">
        <v>1.0853645833333334</v>
      </c>
    </row>
    <row r="19" spans="2:5" x14ac:dyDescent="0.3">
      <c r="B19" s="7" t="s">
        <v>36</v>
      </c>
      <c r="C19">
        <v>34433</v>
      </c>
      <c r="D19">
        <v>2400</v>
      </c>
      <c r="E19">
        <v>1.1955902777777767</v>
      </c>
    </row>
    <row r="20" spans="2:5" x14ac:dyDescent="0.3">
      <c r="B20" s="7" t="s">
        <v>37</v>
      </c>
      <c r="C20">
        <v>171406</v>
      </c>
      <c r="D20">
        <v>15000</v>
      </c>
      <c r="E20">
        <v>0.95225555555555574</v>
      </c>
    </row>
    <row r="21" spans="2:5" x14ac:dyDescent="0.3">
      <c r="B21" s="7" t="s">
        <v>1</v>
      </c>
      <c r="C21">
        <v>68921</v>
      </c>
      <c r="D21">
        <v>6400</v>
      </c>
      <c r="E21">
        <v>0.89740885416666671</v>
      </c>
    </row>
    <row r="22" spans="2:5" x14ac:dyDescent="0.3">
      <c r="B22" s="7" t="s">
        <v>38</v>
      </c>
      <c r="C22">
        <v>5917</v>
      </c>
      <c r="D22">
        <v>400</v>
      </c>
      <c r="E22">
        <v>1.2327083333333335</v>
      </c>
    </row>
    <row r="23" spans="2:5" x14ac:dyDescent="0.3">
      <c r="B23" s="7" t="s">
        <v>39</v>
      </c>
      <c r="C23">
        <v>35033</v>
      </c>
      <c r="D23">
        <v>2900</v>
      </c>
      <c r="E23">
        <v>1.0066954022988512</v>
      </c>
    </row>
  </sheetData>
  <conditionalFormatting pivot="1" sqref="C5:C12">
    <cfRule type="top10" dxfId="3" priority="4" rank="3"/>
  </conditionalFormatting>
  <conditionalFormatting pivot="1" sqref="C14:C16">
    <cfRule type="top10" dxfId="2" priority="3" rank="1"/>
  </conditionalFormatting>
  <conditionalFormatting pivot="1" sqref="C18:C23">
    <cfRule type="top10" dxfId="1" priority="2" rank="3"/>
  </conditionalFormatting>
  <conditionalFormatting pivot="1" sqref="E5:E12 E14:E16 E18:E23">
    <cfRule type="cellIs" dxfId="0" priority="1" operator="greaterThan">
      <formula>0.99</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9076CF7A7EA5D41BDA906DCF24A0964" ma:contentTypeVersion="9" ma:contentTypeDescription="Create a new document." ma:contentTypeScope="" ma:versionID="91f85012a3c77db331a67500118c5a05">
  <xsd:schema xmlns:xsd="http://www.w3.org/2001/XMLSchema" xmlns:xs="http://www.w3.org/2001/XMLSchema" xmlns:p="http://schemas.microsoft.com/office/2006/metadata/properties" xmlns:ns2="4193d1ab-bc46-4071-bfc0-707c24a203d6" xmlns:ns3="adf78c60-cf1f-487c-826f-4731e9ddd888" targetNamespace="http://schemas.microsoft.com/office/2006/metadata/properties" ma:root="true" ma:fieldsID="2d96a983dde535c8993e09e11b160d54" ns2:_="" ns3:_="">
    <xsd:import namespace="4193d1ab-bc46-4071-bfc0-707c24a203d6"/>
    <xsd:import namespace="adf78c60-cf1f-487c-826f-4731e9ddd888"/>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OCR" minOccurs="0"/>
                <xsd:element ref="ns2:MediaServiceEventHashCode"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93d1ab-bc46-4071-bfc0-707c24a203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f78c60-cf1f-487c-826f-4731e9ddd88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565864EB-DAC4-468E-8DA6-9D0AE47D2B5F}">
  <ds:schemaRefs>
    <ds:schemaRef ds:uri="http://schemas.microsoft.com/sharepoint/v3/contenttype/forms"/>
  </ds:schemaRefs>
</ds:datastoreItem>
</file>

<file path=customXml/itemProps2.xml><?xml version="1.0" encoding="utf-8"?>
<ds:datastoreItem xmlns:ds="http://schemas.openxmlformats.org/officeDocument/2006/customXml" ds:itemID="{AF78431F-FD77-406B-BEEB-01B28CB4E4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93d1ab-bc46-4071-bfc0-707c24a203d6"/>
    <ds:schemaRef ds:uri="adf78c60-cf1f-487c-826f-4731e9ddd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EFC32E-44A2-4A0A-9E75-7C7A41FDF54E}">
  <ds:schemaRefs>
    <ds:schemaRef ds:uri="http://schemas.microsoft.com/office/2006/metadata/properties"/>
    <ds:schemaRef ds:uri="http://purl.org/dc/dcmitype/"/>
    <ds:schemaRef ds:uri="http://purl.org/dc/elements/1.1/"/>
    <ds:schemaRef ds:uri="http://schemas.microsoft.com/office/2006/documentManagement/types"/>
    <ds:schemaRef ds:uri="http://www.w3.org/XML/1998/namespace"/>
    <ds:schemaRef ds:uri="http://purl.org/dc/terms/"/>
    <ds:schemaRef ds:uri="4193d1ab-bc46-4071-bfc0-707c24a203d6"/>
    <ds:schemaRef ds:uri="http://schemas.microsoft.com/office/infopath/2007/PartnerControls"/>
    <ds:schemaRef ds:uri="http://schemas.openxmlformats.org/package/2006/metadata/core-properties"/>
    <ds:schemaRef ds:uri="adf78c60-cf1f-487c-826f-4731e9ddd888"/>
  </ds:schemaRefs>
</ds:datastoreItem>
</file>

<file path=customXml/itemProps4.xml><?xml version="1.0" encoding="utf-8"?>
<ds:datastoreItem xmlns:ds="http://schemas.openxmlformats.org/officeDocument/2006/customXml" ds:itemID="{6337F24A-3215-49D3-B819-2F38A602EA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Answer</vt:lpstr>
      <vt:lpstr>Dashboard</vt:lpstr>
      <vt:lpstr>SalesData</vt:lpstr>
      <vt:lpstr>PvtSalesMonth&amp;Cat</vt:lpstr>
      <vt:lpstr>PvtSubcategoryTargets</vt:lpstr>
      <vt:lpstr>PvtTopSubC</vt:lpstr>
      <vt:lpstr>PvtMatrix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 Arroyo Tanta</dc:creator>
  <cp:lastModifiedBy>Andrei B Arroyo</cp:lastModifiedBy>
  <cp:lastPrinted>2026-03-22T02:31:13Z</cp:lastPrinted>
  <dcterms:created xsi:type="dcterms:W3CDTF">2017-02-11T23:07:17Z</dcterms:created>
  <dcterms:modified xsi:type="dcterms:W3CDTF">2026-05-12T15:09:19Z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0x01010059076CF7A7EA5D41BDA906DCF24A0964</vt:lpwstr>
  </property>
</Properties>
</file>